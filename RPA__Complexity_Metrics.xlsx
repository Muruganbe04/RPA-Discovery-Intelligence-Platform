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0049U8744\Desktop\MigrationAssistant\"/>
    </mc:Choice>
  </mc:AlternateContent>
  <xr:revisionPtr revIDLastSave="0" documentId="13_ncr:1_{8FB24981-E5B6-4FA8-9639-496E3CE20123}" xr6:coauthVersionLast="47" xr6:coauthVersionMax="47" xr10:uidLastSave="{00000000-0000-0000-0000-000000000000}"/>
  <bookViews>
    <workbookView xWindow="-108" yWindow="-108" windowWidth="23256" windowHeight="12456" tabRatio="874" xr2:uid="{00000000-000D-0000-FFFF-FFFF00000000}"/>
  </bookViews>
  <sheets>
    <sheet name="Complexity Matrix" sheetId="26" r:id="rId1"/>
  </sheets>
  <externalReferences>
    <externalReference r:id="rId2"/>
    <externalReference r:id="rId3"/>
    <externalReference r:id="rId4"/>
  </externalReferences>
  <definedNames>
    <definedName name="__123Graph_" hidden="1">'[1]N oncustomer Template'!#REF!</definedName>
    <definedName name="__123Graph_A" hidden="1">'[1]N oncustomer Template'!#REF!</definedName>
    <definedName name="__123Graph_B" hidden="1">'[1]N oncustomer Template'!#REF!</definedName>
    <definedName name="__123Graph_C" hidden="1">'[1]N oncustomer Template'!#REF!</definedName>
    <definedName name="__123Graph_D" hidden="1">'[1]N oncustomer Template'!#REF!</definedName>
    <definedName name="__123Graph_E" hidden="1">'[1]N oncustomer Template'!#REF!</definedName>
    <definedName name="__123Graph_F" hidden="1">'[1]N oncustomer Template'!#REF!</definedName>
    <definedName name="__123Graph_X" hidden="1">'[1]N oncustomer Template'!#REF!</definedName>
    <definedName name="_1__123Graph_ACHART_1" hidden="1">[2]MEX!$I$11:$M$11</definedName>
    <definedName name="_10__123Graph_LBL_ACHART_4" hidden="1">[2]MEX!$I$30:$M$30</definedName>
    <definedName name="_11__123Graph_LBL_ACHART_5" hidden="1">[2]BRA!$I$11:$M$11</definedName>
    <definedName name="_12__123Graph_LBL_BCHART_3" hidden="1">[2]MEX!$I$99:$M$99</definedName>
    <definedName name="_13__123Graph_XCHART_2" hidden="1">[2]MEX!$I$10:$M$10</definedName>
    <definedName name="_14__123Graph_XCHART_3" hidden="1">[2]MEX!$I$10:$M$10</definedName>
    <definedName name="_15__123Graph_XCHART_4" hidden="1">[2]MEX!$I$10:$M$10</definedName>
    <definedName name="_2__123Graph_ACHART_2" hidden="1">[2]MEX!$I$23:$M$23</definedName>
    <definedName name="_3__123Graph_ACHART_3" hidden="1">[2]MEX!$I$98:$M$98</definedName>
    <definedName name="_4__123Graph_ACHART_4" hidden="1">[2]MEX!$I$30:$M$30</definedName>
    <definedName name="_5__123Graph_ACHART_5" hidden="1">[2]BRA!$I$11:$M$11</definedName>
    <definedName name="_6__123Graph_BCHART_3" hidden="1">[2]MEX!$I$99:$M$99</definedName>
    <definedName name="_7__123Graph_LBL_ACHART_1" hidden="1">[2]MEX!$I$11:$M$11</definedName>
    <definedName name="_8__123Graph_LBL_ACHART_2" hidden="1">[2]MEX!$I$23:$M$23</definedName>
    <definedName name="_9__123Graph_LBL_ACHART_3" hidden="1">[2]MEX!$I$98:$M$98</definedName>
    <definedName name="_aaa1" hidden="1">{"FF",#N/A,FALSE,"Dec 96 "}</definedName>
    <definedName name="_b1" hidden="1">{#N/A,#N/A,FALSE,"PLME0520"}</definedName>
    <definedName name="_d1" hidden="1">{#N/A,#N/A,FALSE,"PLME0520"}</definedName>
    <definedName name="_f1" hidden="1">{#N/A,#N/A,FALSE,"PLME0520"}</definedName>
    <definedName name="_fff1" hidden="1">{#N/A,#N/A,FALSE,"PLME0520"}</definedName>
    <definedName name="_fg1" hidden="1">{#N/A,#N/A,FALSE,"PLME0520"}</definedName>
    <definedName name="_FI1" hidden="1">{"USD",#N/A,FALSE,"Janv 97"}</definedName>
    <definedName name="_Fill" hidden="1">#REF!</definedName>
    <definedName name="_ian1" hidden="1">{"USD",#N/A,FALSE,"Janv 97"}</definedName>
    <definedName name="_j1" hidden="1">{#N/A,#N/A,FALSE,"PLME0520"}</definedName>
    <definedName name="_Key1" hidden="1">#REF!</definedName>
    <definedName name="_Key2" hidden="1">#REF!</definedName>
    <definedName name="_me1" hidden="1">{"Synthese",#N/A,FALSE,"Dec 96 (2)"}</definedName>
    <definedName name="_OK1" hidden="1">{"Synthese",#N/A,FALSE,"Dec 96 (2)"}</definedName>
    <definedName name="_OK2" hidden="1">{"Syn_janv",#N/A,FALSE,"Janv 97"}</definedName>
    <definedName name="_OK3" hidden="1">{"Synthese",#N/A,FALSE,"Dec 96 (2)"}</definedName>
    <definedName name="_OP1" hidden="1">{"FF",#N/A,FALSE,"Janv 97"}</definedName>
    <definedName name="_Order1" hidden="1">255</definedName>
    <definedName name="_Order2" hidden="1">255</definedName>
    <definedName name="_Parse_In" hidden="1">#REF!</definedName>
    <definedName name="_s1" hidden="1">{#N/A,#N/A,FALSE,"PLME0520"}</definedName>
    <definedName name="_Sort" hidden="1">#REF!</definedName>
    <definedName name="_ss1" hidden="1">{"USD",#N/A,FALSE,"Dec 96 "}</definedName>
    <definedName name="_u1" hidden="1">{#N/A,#N/A,FALSE,"PLME0520"}</definedName>
    <definedName name="_wrn1"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_z1" hidden="1">{"USD",#N/A,FALSE,"Dec 96 "}</definedName>
    <definedName name="aaa" hidden="1">{"FF",#N/A,FALSE,"Dec 96 "}</definedName>
    <definedName name="ab"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abc" hidden="1">'[1]N oncustomer Template'!#REF!</definedName>
    <definedName name="ACCPT_STATUS">#REF!</definedName>
    <definedName name="anscount" hidden="1">3</definedName>
    <definedName name="APPROVED">#REF!</definedName>
    <definedName name="asdfsdfsd" hidden="1">{#N/A,#N/A,FALSE,"Monthly"}</definedName>
    <definedName name="BLOCKER">#REF!</definedName>
    <definedName name="COMPL_STATUS">#REF!</definedName>
    <definedName name="COMPLETED">#REF!</definedName>
    <definedName name="COMPRO"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COMPRO1"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d" hidden="1">{#N/A,#N/A,FALSE,"PLME0520"}</definedName>
    <definedName name="DEVELOPERS">#REF!</definedName>
    <definedName name="DFASFD" hidden="1">{"Syn_janv",#N/A,FALSE,"Janv 97"}</definedName>
    <definedName name="DFASFD1" hidden="1">{"Syn_janv",#N/A,FALSE,"Janv 97"}</definedName>
    <definedName name="EFFORT_COLUMN">#REF!</definedName>
    <definedName name="EPICS_TABLE">#REF!</definedName>
    <definedName name="eqd" hidden="1">{"Syn_janv",#N/A,FALSE,"Janv 97"}</definedName>
    <definedName name="f" hidden="1">{#N/A,#N/A,TRUE,"Cover";#N/A,#N/A,TRUE,"Header (ld)";#N/A,#N/A,TRUE,"T&amp;O By Region";#N/A,#N/A,TRUE,"Region Charts ";#N/A,#N/A,TRUE,"T&amp;O London";#N/A,#N/A,TRUE,"AD Report";#N/A,#N/A,TRUE,"Var by OU"}</definedName>
    <definedName name="fff" hidden="1">{#N/A,#N/A,FALSE,"PLME0520"}</definedName>
    <definedName name="fg" hidden="1">{#N/A,#N/A,FALSE,"PLME0520"}</definedName>
    <definedName name="FI" hidden="1">{"USD",#N/A,FALSE,"Janv 97"}</definedName>
    <definedName name="fq" hidden="1">{#N/A,#N/A,FALSE,"PLME0520"}</definedName>
    <definedName name="hans" hidden="1">{#N/A,#N/A,FALSE,"PLME0520"}</definedName>
    <definedName name="hans1" hidden="1">{#N/A,#N/A,FALSE,"PLME0520"}</definedName>
    <definedName name="Healthcare" hidden="1">{#N/A,#N/A,FALSE,"Monthly"}</definedName>
    <definedName name="HOLA" hidden="1">{"FF",#N/A,FALSE,"Projection"}</definedName>
    <definedName name="HOLA1" hidden="1">{"FF",#N/A,FALSE,"Projection"}</definedName>
    <definedName name="HTML_CodePage" hidden="1">1252</definedName>
    <definedName name="HTML_Control" hidden="1">{"'Server Configuration'!$A$1:$DB$281"}</definedName>
    <definedName name="HTML_Control_1" hidden="1">{"'Server Configuration'!$A$1:$DB$281"}</definedName>
    <definedName name="HTML_Description" hidden="1">""</definedName>
    <definedName name="HTML_Email" hidden="1">""</definedName>
    <definedName name="HTML_Header" hidden="1">"Server Configuration"</definedName>
    <definedName name="HTML_LastUpdate" hidden="1">"2/9/01"</definedName>
    <definedName name="HTML_LineAfter" hidden="1">FALSE</definedName>
    <definedName name="HTML_LineBefore" hidden="1">FALSE</definedName>
    <definedName name="HTML_Name" hidden="1">"Corporate Network Services"</definedName>
    <definedName name="HTML_OBDlg2" hidden="1">TRUE</definedName>
    <definedName name="HTML_OBDlg4" hidden="1">TRUE</definedName>
    <definedName name="HTML_OS" hidden="1">0</definedName>
    <definedName name="HTML_PathFile" hidden="1">"C:\WINNT\Profiles\E003999\Desktop\MyHTML.htm"</definedName>
    <definedName name="HTML_Title" hidden="1">"Asset Tracking 2_9_01"</definedName>
    <definedName name="ian" hidden="1">{"USD",#N/A,FALSE,"Janv 97"}</definedName>
    <definedName name="IN_PROGRESS">#REF!</definedName>
    <definedName name="IQ_ADDIN" hidden="1">"AUTO"</definedName>
    <definedName name="IQ_CH" hidden="1">110000</definedName>
    <definedName name="IQ_CQ" hidden="1">5000</definedName>
    <definedName name="IQ_CY" hidden="1">10000</definedName>
    <definedName name="IQ_DAILY" hidden="1">500000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40514.7995138889</definedName>
    <definedName name="IQ_NTM" hidden="1">6000</definedName>
    <definedName name="IQ_TODAY" hidden="1">0</definedName>
    <definedName name="IQ_WEEK" hidden="1">50000</definedName>
    <definedName name="IQ_YTD" hidden="1">3000</definedName>
    <definedName name="IQ_YTDMONTH" hidden="1">130000</definedName>
    <definedName name="ISSUE_TYPES">#REF!</definedName>
    <definedName name="ivelisse" hidden="1">{"Syn_janv",#N/A,FALSE,"Janv 97"}</definedName>
    <definedName name="ivelisse1" hidden="1">{"Syn_janv",#N/A,FALSE,"Janv 97"}</definedName>
    <definedName name="j" hidden="1">{#N/A,#N/A,FALSE,"PLME0520"}</definedName>
    <definedName name="lance" hidden="1">{"USD",#N/A,FALSE,"Janv 97"}</definedName>
    <definedName name="lance1" hidden="1">{"USD",#N/A,FALSE,"Janv 97"}</definedName>
    <definedName name="limcount" hidden="1">3</definedName>
    <definedName name="lk" hidden="1">{#N/A,#N/A,TRUE,"Cover";#N/A,#N/A,TRUE,"Header (ld)";#N/A,#N/A,TRUE,"T&amp;O By Region";#N/A,#N/A,TRUE,"Region Charts ";#N/A,#N/A,TRUE,"T&amp;O London";#N/A,#N/A,TRUE,"AD Report";#N/A,#N/A,TRUE,"Var by OU"}</definedName>
    <definedName name="m" hidden="1">#REF!</definedName>
    <definedName name="MAJOR">#REF!</definedName>
    <definedName name="me" hidden="1">{"Synthese",#N/A,FALSE,"Dec 96 (2)"}</definedName>
    <definedName name="MINOR">#REF!</definedName>
    <definedName name="NOT_STARTED">#REF!</definedName>
    <definedName name="NUEVO" hidden="1">{"USD",#N/A,FALSE,"Janv 97"}</definedName>
    <definedName name="NUEVO1" hidden="1">{"USD",#N/A,FALSE,"Janv 97"}</definedName>
    <definedName name="nuevo2" hidden="1">{"USD",#N/A,FALSE,"Janv 97"}</definedName>
    <definedName name="nuevo3" hidden="1">{"USD",#N/A,FALSE,"Janv 97"}</definedName>
    <definedName name="OK" hidden="1">{"Syn_janv",#N/A,FALSE,"Janv 97"}</definedName>
    <definedName name="old" hidden="1">3</definedName>
    <definedName name="OP" hidden="1">{"FF",#N/A,FALSE,"Janv 97"}</definedName>
    <definedName name="PENDING">#REF!</definedName>
    <definedName name="PRIORITIES">#REF!</definedName>
    <definedName name="PRIORITY_COLUMN">#REF!</definedName>
    <definedName name="qac" hidden="1">{#N/A,#N/A,FALSE,"PLME0520"}</definedName>
    <definedName name="qe" hidden="1">{"USD",#N/A,FALSE,"Dec 96 "}</definedName>
    <definedName name="qs" hidden="1">{#N/A,#N/A,FALSE,"PLME0520"}</definedName>
    <definedName name="qsc" hidden="1">{"Synthese",#N/A,FALSE,"Dec 96 (2)"}</definedName>
    <definedName name="qwf" hidden="1">{#N/A,#N/A,FALSE,"PLME0520"}</definedName>
    <definedName name="RATES_CAPITAL">[3]Inputs!$C$42</definedName>
    <definedName name="ref" hidden="1">{#N/A,#N/A,FALSE,"PLME0520"}</definedName>
    <definedName name="REJECTED">#REF!</definedName>
    <definedName name="RRRR1" hidden="1">{"FF",#N/A,FALSE,"Janv 97"}</definedName>
    <definedName name="RRRRR" hidden="1">{"FF",#N/A,FALSE,"Janv 97"}</definedName>
    <definedName name="SAPBEXrevision" hidden="1">2</definedName>
    <definedName name="SAPBEXsysID" hidden="1">"MWP"</definedName>
    <definedName name="SAPBEXwbID" hidden="1">"3MOH0LG884O7D525EH4P44ER9"</definedName>
    <definedName name="sasasa" hidden="1">{"USD",#N/A,FALSE,"Janv 97"}</definedName>
    <definedName name="sasasa1" hidden="1">{"USD",#N/A,FALSE,"Janv 97"}</definedName>
    <definedName name="sencount" hidden="1">3</definedName>
    <definedName name="Server" hidden="1">#REF!</definedName>
    <definedName name="SP_COLUMN">#REF!</definedName>
    <definedName name="ss" hidden="1">{"USD",#N/A,FALSE,"Dec 96 "}</definedName>
    <definedName name="STATUSES">#REF!</definedName>
    <definedName name="STATUSES_COLUMN">#REF!</definedName>
    <definedName name="Subs4" hidden="1">{#N/A,#N/A,FALSE,"PLME0520"}</definedName>
    <definedName name="Subs5" hidden="1">{#N/A,#N/A,FALSE,"PLME0520"}</definedName>
    <definedName name="Subsi2" hidden="1">{"Synthese",#N/A,FALSE,"Dec 96 (2)"}</definedName>
    <definedName name="Subsidary1" hidden="1">{"Syn_janv",#N/A,FALSE,"Janv 97"}</definedName>
    <definedName name="Subsidiary" hidden="1">{"Syn_janv",#N/A,FALSE,"Janv 97"}</definedName>
    <definedName name="Subsidiary2" hidden="1">{"Synthese",#N/A,FALSE,"Dec 96 (2)"}</definedName>
    <definedName name="Subsidiary4" hidden="1">{#N/A,#N/A,FALSE,"PLME0520"}</definedName>
    <definedName name="Subsidiarys" hidden="1">{#N/A,#N/A,FALSE,"PLME0520"}</definedName>
    <definedName name="TASK">#REF!</definedName>
    <definedName name="tttt" hidden="1">{"USD",#N/A,FALSE,"Janv 97"}</definedName>
    <definedName name="tttt1" hidden="1">{"USD",#N/A,FALSE,"Janv 97"}</definedName>
    <definedName name="u" hidden="1">{#N/A,#N/A,FALSE,"PLME0520"}</definedName>
    <definedName name="USER_STORY">#REF!</definedName>
    <definedName name="valid" hidden="1">"3MOH0LG884O7D525EH4P44ER9"</definedName>
    <definedName name="we" hidden="1">{"FF",#N/A,FALSE,"Projection"}</definedName>
    <definedName name="Wrkg" hidden="1">{#N/A,#N/A,FALSE,"Summary";#N/A,#N/A,FALSE,"Base Payments-Order Letters-All";#N/A,#N/A,FALSE,"Hardware Expense";#N/A,#N/A,FALSE,"Hardware Allocation %-Ramp Up";#N/A,#N/A,FALSE,"Software Expense";#N/A,#N/A,FALSE,"Base Pmt-Software vs. Hardware"}</definedName>
    <definedName name="wrn." hidden="1">{#N/A,#N/A,FALSE,"PLME0520"}</definedName>
    <definedName name="wrn.1998._.MI._.PROGRAM." hidden="1">{#N/A,#N/A,FALSE,"Summary";#N/A,#N/A,FALSE,"Goals &amp; Results";#N/A,#N/A,FALSE,"Oral Care Summary";#N/A,#N/A,FALSE,"Soaps Summary";#N/A,#N/A,FALSE,"Personal Care Summary";#N/A,#N/A,FALSE,"Household Care Summary";#N/A,#N/A,FALSE,"Fabric Care Summary";#N/A,#N/A,FALSE,"General Projects Summary";#N/A,#N/A,FALSE,"Logistics &amp; Distribution";#N/A,#N/A,FALSE,"Argentina";#N/A,#N/A,FALSE,"Brazil";#N/A,#N/A,FALSE,"Caricom";#N/A,#N/A,FALSE,"Central America-NCA";#N/A,#N/A,FALSE,"Central America-Panama";#N/A,#N/A,FALSE,"Chile";#N/A,#N/A,FALSE,"Colombia";#N/A,#N/A,FALSE,"Dominican Republic";#N/A,#N/A,FALSE,"Ecuador";#N/A,#N/A,FALSE,"Mexico";#N/A,#N/A,FALSE,"Peru";#N/A,#N/A,FALSE,"Uruguay";#N/A,#N/A,FALSE,"Venezuela"}</definedName>
    <definedName name="wrn.cost." hidden="1">{#N/A,#N/A,FALSE,"PLME0520"}</definedName>
    <definedName name="wrn.d" hidden="1">{#N/A,#N/A,FALSE,"Fx Rate - Spis";#N/A,#N/A,FALSE,"Tonnage";#N/A,#N/A,FALSE,"Net Sales";#N/A,#N/A,FALSE,"Quarterly Trend";#N/A,#N/A,FALSE,"ASP";#N/A,#N/A,FALSE,"ASP- ACP per TON";#N/A,#N/A,FALSE,"SPI Analysis 2005 LE";#N/A,#N/A,FALSE,"SPI Analysis 2006 B";#N/A,#N/A,FALSE,"NVOs";#N/A,#N/A,FALSE,"Media";#N/A,#N/A,FALSE,"Promotion"}</definedName>
    <definedName name="wrn.Decision._.Criteria._.Profile." hidden="1">{#N/A,#N/A,FALSE,"Database"}</definedName>
    <definedName name="wrn.Division._.Exhibits." hidden="1">{#N/A,#N/A,FALSE,"Fx Rate - Spis";#N/A,#N/A,FALSE,"Tonnage";#N/A,#N/A,FALSE,"Net Sales";#N/A,#N/A,FALSE,"Quarterly Trend";#N/A,#N/A,FALSE,"ASP";#N/A,#N/A,FALSE,"ASP- ACP per TON";#N/A,#N/A,FALSE,"SPI Analysis 2005 LE";#N/A,#N/A,FALSE,"SPI Analysis 2006 B";#N/A,#N/A,FALSE,"NVOs";#N/A,#N/A,FALSE,"Media";#N/A,#N/A,FALSE,"Promotion"}</definedName>
    <definedName name="wrn.Forecast._.FY02._.and._.FY03." hidden="1">{#N/A,#N/A,FALSE,"Summary";#N/A,#N/A,FALSE,"Base Payments-Order Letters-All";#N/A,#N/A,FALSE,"Hardware Expense";#N/A,#N/A,FALSE,"Hardware Allocation %-Ramp Up";#N/A,#N/A,FALSE,"Software Expense";#N/A,#N/A,FALSE,"Base Pmt-Software vs. Hardware"}</definedName>
    <definedName name="wrn.impuestos." hidden="1">{#N/A,#N/A,FALSE,"PLME0520"}</definedName>
    <definedName name="wrn.Long._.Report." hidden="1">{#N/A,#N/A,TRUE,"Cover";#N/A,#N/A,TRUE,"Header (ld)";#N/A,#N/A,TRUE,"T&amp;O By Region";#N/A,#N/A,TRUE,"Region Charts ";#N/A,#N/A,TRUE,"T&amp;O London";#N/A,#N/A,TRUE,"AD Report";#N/A,#N/A,TRUE,"Var by OU"}</definedName>
    <definedName name="wrn.Long._.Report.a" hidden="1">{#N/A,#N/A,TRUE,"Cover";#N/A,#N/A,TRUE,"Header (ld)";#N/A,#N/A,TRUE,"T&amp;O By Region";#N/A,#N/A,TRUE,"Region Charts ";#N/A,#N/A,TRUE,"T&amp;O London";#N/A,#N/A,TRUE,"AD Report";#N/A,#N/A,TRUE,"Var by OU"}</definedName>
    <definedName name="wrn.m" hidden="1">{#N/A,#N/A,FALSE,"PLME0520"}</definedName>
    <definedName name="wrn.mi" hidden="1">{#N/A,#N/A,FALSE,"PLME0520"}</definedName>
    <definedName name="wrn.misceldlls." hidden="1">{#N/A,#N/A,FALSE,"PLME0520"}</definedName>
    <definedName name="wrn.miscelps." hidden="1">{#N/A,#N/A,FALSE,"PLME0520"}</definedName>
    <definedName name="wrn.Monthly." hidden="1">{#N/A,#N/A,FALSE,"Monthly"}</definedName>
    <definedName name="wrn.n" hidden="1">{"FF",#N/A,FALSE,"Dec 96 "}</definedName>
    <definedName name="wrn.ne" hidden="1">{"FF",#N/A,FALSE,"Janv 97"}</definedName>
    <definedName name="wrn.net" hidden="1">{"USD",#N/A,FALSE,"Dec 96 "}</definedName>
    <definedName name="wrn.Net._.Sales._.en._.FF_Dec." hidden="1">{"FF",#N/A,FALSE,"Dec 96 "}</definedName>
    <definedName name="wrn.Net._.Sales._.en._.FF_janv." hidden="1">{"FF",#N/A,FALSE,"Janv 97"}</definedName>
    <definedName name="wrn.Net._.Sales._.en._.USD_Dec." hidden="1">{"USD",#N/A,FALSE,"Dec 96 "}</definedName>
    <definedName name="wrn.Net._.Sales._.en._.USD_janv." hidden="1">{"USD",#N/A,FALSE,"Janv 97"}</definedName>
    <definedName name="wrn.no" hidden="1">{"USD",#N/A,FALSE,"Janv 97"}</definedName>
    <definedName name="wrn.pldolares." hidden="1">{#N/A,#N/A,FALSE,"PLME0520"}</definedName>
    <definedName name="wrn.plpesos." hidden="1">{#N/A,#N/A,FALSE,"PLME0520"}</definedName>
    <definedName name="wrn.printbc1."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ojection._.en._.FF." hidden="1">{"FF",#N/A,FALSE,"Projection"}</definedName>
    <definedName name="wrn.Reconciliation." hidden="1">{"Reconciliation-Summary View 1",#N/A,FALSE,"Summary";"Reconciliation-Summary View 2",#N/A,FALSE,"Summary";"Reconciliation-Summary View 3",#N/A,FALSE,"Summary";"Reconciliation-Summary View 3",#N/A,FALSE,"Base Payments-Order Letters-All";"Reconciliation-Summary View 3",#N/A,FALSE,"Hardware Expense";"Reconciliation-Summary View 3",#N/A,FALSE,"Hardware Payments";"Reconciliation-Summary View 3",#N/A,FALSE,"Hardware Allocation %-Ramp Up";"Reconciliation-Summary View 3",#N/A,FALSE,"Software Expense";"Reconciliation-Summary View 3",#N/A,FALSE,"Software Payments";"Reconciliation-Summary View 3",#N/A,FALSE,"Base Pmt-Software vs. Hardware";"Reconciliation-Summary View 3",#N/A,FALSE,"AMO Paid vs. Owed Payments";"Reconciliation-Summary View 3",#N/A,FALSE,"AMO Prepaid Recon";"Reconciliation-Summary View 3",#N/A,FALSE,"Rollforward"}</definedName>
    <definedName name="wrn.regalias." hidden="1">{#N/A,#N/A,FALSE,"PLME0520"}</definedName>
    <definedName name="wrn.Short._.Report." hidden="1">{#N/A,#N/A,TRUE,"Cover";#N/A,#N/A,TRUE,"Header (eu)";#N/A,#N/A,TRUE,"Region Charts";#N/A,#N/A,TRUE,"T&amp;O By Region";#N/A,#N/A,TRUE,"AD Report"}</definedName>
    <definedName name="wrn.Synt_dec." hidden="1">{"Synthese",#N/A,FALSE,"Dec 96 (2)"}</definedName>
    <definedName name="wrn.Synt_janv." hidden="1">{"Syn_janv",#N/A,FALSE,"Janv 97"}</definedName>
    <definedName name="wrn.t" hidden="1">{#N/A,#N/A,FALSE,"PLME0520"}</definedName>
    <definedName name="wrn.traditionaldlls." hidden="1">{#N/A,#N/A,FALSE,"PLME0520"}</definedName>
    <definedName name="wrn.traditionalps." hidden="1">{#N/A,#N/A,FALSE,"PLME0520"}</definedName>
    <definedName name="XITNIA" hidden="1">{"USD",#N/A,FALSE,"Dec 96 "}</definedName>
    <definedName name="z" hidden="1">{"USD",#N/A,FALSE,"Dec 96 "}</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3" i="26" l="1"/>
  <c r="AI22" i="26"/>
  <c r="Z22" i="26"/>
  <c r="W22" i="26"/>
  <c r="T22" i="26"/>
  <c r="Q22" i="26"/>
  <c r="N22" i="26"/>
  <c r="AJ21" i="26"/>
  <c r="AK21" i="26" s="1"/>
  <c r="AD21" i="26"/>
  <c r="AC21" i="26"/>
  <c r="X21" i="26"/>
  <c r="E21" i="26" s="1"/>
  <c r="R21" i="26"/>
  <c r="C21" i="26" s="1"/>
  <c r="O21" i="26"/>
  <c r="B21" i="26" s="1"/>
  <c r="AJ20" i="26"/>
  <c r="AK20" i="26" s="1"/>
  <c r="AC20" i="26"/>
  <c r="AA20" i="26"/>
  <c r="F20" i="26" s="1"/>
  <c r="X20" i="26"/>
  <c r="E20" i="26" s="1"/>
  <c r="R20" i="26"/>
  <c r="C20" i="26" s="1"/>
  <c r="O20" i="26"/>
  <c r="AJ19" i="26"/>
  <c r="AK19" i="26" s="1"/>
  <c r="AC19" i="26"/>
  <c r="X19" i="26"/>
  <c r="E19" i="26" s="1"/>
  <c r="U19" i="26"/>
  <c r="D19" i="26" s="1"/>
  <c r="R19" i="26"/>
  <c r="C19" i="26" s="1"/>
  <c r="O19" i="26"/>
  <c r="B19" i="26" s="1"/>
  <c r="AJ18" i="26"/>
  <c r="AK18" i="26" s="1"/>
  <c r="AD18" i="26"/>
  <c r="AC18" i="26"/>
  <c r="AA18" i="26"/>
  <c r="F18" i="26" s="1"/>
  <c r="X18" i="26"/>
  <c r="E18" i="26" s="1"/>
  <c r="R18" i="26"/>
  <c r="C18" i="26" s="1"/>
  <c r="O18" i="26"/>
  <c r="AJ17" i="26"/>
  <c r="AD17" i="26" s="1"/>
  <c r="AC17" i="26"/>
  <c r="AC22" i="26" s="1"/>
  <c r="AA17" i="26"/>
  <c r="F17" i="26" s="1"/>
  <c r="X17" i="26"/>
  <c r="E17" i="26" s="1"/>
  <c r="O17" i="26"/>
  <c r="B17" i="26" s="1"/>
  <c r="AD20" i="26" l="1"/>
  <c r="E22" i="26"/>
  <c r="O22" i="26"/>
  <c r="S23" i="26"/>
  <c r="R17" i="26"/>
  <c r="AE18" i="26"/>
  <c r="U18" i="26" s="1"/>
  <c r="D18" i="26" s="1"/>
  <c r="AL18" i="26"/>
  <c r="AL19" i="26"/>
  <c r="AE19" i="26"/>
  <c r="AE20" i="26"/>
  <c r="U20" i="26" s="1"/>
  <c r="D20" i="26" s="1"/>
  <c r="AL20" i="26"/>
  <c r="AE21" i="26"/>
  <c r="U21" i="26" s="1"/>
  <c r="J21" i="26" s="1"/>
  <c r="AL21" i="26"/>
  <c r="AD19" i="26"/>
  <c r="AD22" i="26" s="1"/>
  <c r="AK17" i="26"/>
  <c r="J19" i="26"/>
  <c r="AJ22" i="26"/>
  <c r="X22" i="26"/>
  <c r="B18" i="26"/>
  <c r="B20" i="26"/>
  <c r="D21" i="26" l="1"/>
  <c r="B22" i="26"/>
  <c r="B25" i="26" s="1"/>
  <c r="AQ16" i="26"/>
  <c r="AP17" i="26" s="1"/>
  <c r="AK22" i="26"/>
  <c r="AL17" i="26"/>
  <c r="AE17" i="26"/>
  <c r="AM19" i="26"/>
  <c r="AG19" i="26" s="1"/>
  <c r="AA19" i="26" s="1"/>
  <c r="AF19" i="26"/>
  <c r="C17" i="26"/>
  <c r="C22" i="26" s="1"/>
  <c r="R22" i="26"/>
  <c r="AM20" i="26"/>
  <c r="AG20" i="26" s="1"/>
  <c r="AF20" i="26"/>
  <c r="AF18" i="26"/>
  <c r="AM18" i="26"/>
  <c r="AG18" i="26" s="1"/>
  <c r="AM21" i="26"/>
  <c r="AG21" i="26" s="1"/>
  <c r="AA21" i="26" s="1"/>
  <c r="F21" i="26" s="1"/>
  <c r="AF21" i="26"/>
  <c r="J18" i="26"/>
  <c r="J20" i="26"/>
  <c r="AE22" i="26" l="1"/>
  <c r="U17" i="26"/>
  <c r="F19" i="26"/>
  <c r="F22" i="26" s="1"/>
  <c r="AA22" i="26"/>
  <c r="AM17" i="26"/>
  <c r="AG17" i="26" s="1"/>
  <c r="AG22" i="26" s="1"/>
  <c r="AQ20" i="26" s="1"/>
  <c r="AF17" i="26"/>
  <c r="AF22" i="26" s="1"/>
  <c r="AL22" i="26"/>
  <c r="AM22" i="26" s="1"/>
  <c r="AQ17" i="26"/>
  <c r="AP18" i="26" s="1"/>
  <c r="D17" i="26" l="1"/>
  <c r="D22" i="26" s="1"/>
  <c r="E24" i="26" s="1"/>
  <c r="J17" i="26"/>
  <c r="U22" i="26"/>
  <c r="S24" i="26" s="1"/>
  <c r="AQ19" i="26"/>
  <c r="AP20" i="26" s="1"/>
  <c r="AQ18" i="26"/>
  <c r="AP19" i="26" s="1"/>
  <c r="J22" i="26" l="1"/>
  <c r="S25" i="26"/>
</calcChain>
</file>

<file path=xl/sharedStrings.xml><?xml version="1.0" encoding="utf-8"?>
<sst xmlns="http://schemas.openxmlformats.org/spreadsheetml/2006/main" count="86" uniqueCount="73">
  <si>
    <t>Costing efforts for a single Robot Build</t>
  </si>
  <si>
    <t xml:space="preserve">Objective: </t>
  </si>
  <si>
    <t>Determine the overall implementation cost for a single RPA robot</t>
  </si>
  <si>
    <t xml:space="preserve">Step 1 - Define Process complexity </t>
  </si>
  <si>
    <t>Use this tab to assess the complexity of the project under scope</t>
  </si>
  <si>
    <t xml:space="preserve">Instructions: </t>
  </si>
  <si>
    <t xml:space="preserve">1. Determine the complexity of the project by going through the attributes 1 - 7 below </t>
  </si>
  <si>
    <t xml:space="preserve">2. Select the appropriate response from the Simple, Medium and Complex quadrants. Only one X per row is allowed. </t>
  </si>
  <si>
    <t>3. After all responses have been provided, pre-defined rules will determine the complexity of the project. Refer to cell I28 to confirm project complexity</t>
  </si>
  <si>
    <t>COMPLEXITY ATTRIBUTES</t>
  </si>
  <si>
    <t>Weightage for each parameter/complexity</t>
  </si>
  <si>
    <t>Values for each parameter/complexity</t>
  </si>
  <si>
    <t>Equivalence Chart</t>
  </si>
  <si>
    <t>XS</t>
  </si>
  <si>
    <t>S</t>
  </si>
  <si>
    <t>M</t>
  </si>
  <si>
    <t>L</t>
  </si>
  <si>
    <t>XL</t>
  </si>
  <si>
    <t>Priority</t>
  </si>
  <si>
    <t>Weightage</t>
  </si>
  <si>
    <t>#</t>
  </si>
  <si>
    <t>Key Components</t>
  </si>
  <si>
    <t>Extra Simple</t>
  </si>
  <si>
    <t>X</t>
  </si>
  <si>
    <t>Simple</t>
  </si>
  <si>
    <t>Medium</t>
  </si>
  <si>
    <t>Complex</t>
  </si>
  <si>
    <t>Very Complex</t>
  </si>
  <si>
    <t>ES</t>
  </si>
  <si>
    <t>C</t>
  </si>
  <si>
    <t>XC</t>
  </si>
  <si>
    <t>VERY SIMPLE</t>
  </si>
  <si>
    <t>#1</t>
  </si>
  <si>
    <t>Infterface</t>
  </si>
  <si>
    <t>SIMPLE</t>
  </si>
  <si>
    <t>#2</t>
  </si>
  <si>
    <t>Activities</t>
  </si>
  <si>
    <t xml:space="preserve">MEDIUM </t>
  </si>
  <si>
    <t>#3</t>
  </si>
  <si>
    <t>Data Transformation
(Data Manipulation, Data formatting, Data validation)</t>
  </si>
  <si>
    <r>
      <rPr>
        <b/>
        <sz val="9"/>
        <color theme="1"/>
        <rFont val="Arial"/>
        <family val="2"/>
      </rPr>
      <t xml:space="preserve">Up to 5 data transformations to execute the process
</t>
    </r>
    <r>
      <rPr>
        <sz val="9"/>
        <color theme="1"/>
        <rFont val="Arial"/>
        <family val="2"/>
      </rPr>
      <t xml:space="preserve">
</t>
    </r>
    <r>
      <rPr>
        <b/>
        <sz val="9"/>
        <color theme="1"/>
        <rFont val="Arial"/>
        <family val="2"/>
      </rPr>
      <t>Description:</t>
    </r>
    <r>
      <rPr>
        <sz val="9"/>
        <color theme="1"/>
        <rFont val="Arial"/>
        <family val="2"/>
      </rPr>
      <t xml:space="preserve"> Data transformation activities that require applying logic or calculations for downstream processing
Examples of Data Transformation:
1. Extracting specific values from text
2. Using reference tables to convert values
3. Having macro's in the process or complex excel operations
4. Activities which start with words like: Calculate, Validate, Determine, manipulate, transform, verify, create, apply rules, Assign, vlookup, check, etc 
5. Activities which work with encrypted data (to encrypt or to decrypt)</t>
    </r>
  </si>
  <si>
    <r>
      <rPr>
        <b/>
        <sz val="9"/>
        <color theme="1"/>
        <rFont val="Arial"/>
        <family val="2"/>
      </rPr>
      <t xml:space="preserve">Up to 10 data transformations to execute the process
</t>
    </r>
    <r>
      <rPr>
        <sz val="9"/>
        <color theme="1"/>
        <rFont val="Arial"/>
        <family val="2"/>
      </rPr>
      <t xml:space="preserve">
</t>
    </r>
    <r>
      <rPr>
        <b/>
        <sz val="9"/>
        <color theme="1"/>
        <rFont val="Arial"/>
        <family val="2"/>
      </rPr>
      <t xml:space="preserve">Description: </t>
    </r>
    <r>
      <rPr>
        <sz val="9"/>
        <color theme="1"/>
        <rFont val="Arial"/>
        <family val="2"/>
      </rPr>
      <t>Data transformation activities that require applying logic or calculations for downstream processing
Examples of Data Transformation:
1. Extracting specific values from text
2. Using reference tables to convert values
3. Having macro's in the process or complex excel operations
4. Activities which start with words like: Calculate, Validate, Determine, manipulate, transform, verify, create, apply rules, Assign, vlookup, check, etc 
5. Activities which work with encrypted data (to encrypt or to decrypt)</t>
    </r>
  </si>
  <si>
    <r>
      <rPr>
        <b/>
        <sz val="9"/>
        <color theme="1"/>
        <rFont val="Arial"/>
        <family val="2"/>
      </rPr>
      <t xml:space="preserve">Up to 20 data transformations to execute the process
</t>
    </r>
    <r>
      <rPr>
        <sz val="9"/>
        <color theme="1"/>
        <rFont val="Arial"/>
        <family val="2"/>
      </rPr>
      <t xml:space="preserve">
</t>
    </r>
    <r>
      <rPr>
        <b/>
        <sz val="9"/>
        <color theme="1"/>
        <rFont val="Arial"/>
        <family val="2"/>
      </rPr>
      <t>Description:</t>
    </r>
    <r>
      <rPr>
        <sz val="9"/>
        <color theme="1"/>
        <rFont val="Arial"/>
        <family val="2"/>
      </rPr>
      <t xml:space="preserve"> Data transformation activities that require applying logic or calculations for downstream processing
Examples of Data Transformation:
1. Extracting specific values from text
2. Using reference tables to convert values
3. Having macro's in the process or complex excel operations
4. Activities which start with words like: Calculate, Validate, Determine, manipulate, transform, verify, create, apply rules, Assign, vlookup, check, etc 
5. Activities which work with encrypted data (to encrypt or to decrypt)</t>
    </r>
  </si>
  <si>
    <r>
      <rPr>
        <b/>
        <sz val="9"/>
        <color theme="1"/>
        <rFont val="Arial"/>
        <family val="2"/>
      </rPr>
      <t xml:space="preserve">Up to 40 data transformations to execute the process
</t>
    </r>
    <r>
      <rPr>
        <sz val="9"/>
        <color theme="1"/>
        <rFont val="Arial"/>
        <family val="2"/>
      </rPr>
      <t xml:space="preserve">
</t>
    </r>
    <r>
      <rPr>
        <b/>
        <sz val="9"/>
        <color theme="1"/>
        <rFont val="Arial"/>
        <family val="2"/>
      </rPr>
      <t>Description:</t>
    </r>
    <r>
      <rPr>
        <sz val="9"/>
        <color theme="1"/>
        <rFont val="Arial"/>
        <family val="2"/>
      </rPr>
      <t xml:space="preserve"> Data transformation activities that require applying logic or calculations for downstream processing
Examples of Data Transformation:
1. Extracting specific values from text
2. Using reference tables to convert values
3. Having macro's in the process or complex excel operations
4. Activities which start with words like: Calculate, Validate, Determine, manipulate, transform, verify, create, apply rules, Assign, vlookup, check, etc 
5. Activities which work with encrypted data (to encrypt or to decrypt)</t>
    </r>
  </si>
  <si>
    <r>
      <rPr>
        <b/>
        <sz val="9"/>
        <color theme="1"/>
        <rFont val="Arial"/>
        <family val="2"/>
      </rPr>
      <t xml:space="preserve">Up to 60 data transformations to execute the process
</t>
    </r>
    <r>
      <rPr>
        <sz val="9"/>
        <color theme="1"/>
        <rFont val="Arial"/>
        <family val="2"/>
      </rPr>
      <t xml:space="preserve">
</t>
    </r>
    <r>
      <rPr>
        <b/>
        <sz val="9"/>
        <color theme="1"/>
        <rFont val="Arial"/>
        <family val="2"/>
      </rPr>
      <t>Description:</t>
    </r>
    <r>
      <rPr>
        <sz val="9"/>
        <color theme="1"/>
        <rFont val="Arial"/>
        <family val="2"/>
      </rPr>
      <t xml:space="preserve"> Data transformation activities that require applying logic or calculations for downstream processing
Examples of Data Transformation:
1. Extracting specific values from text
2. Using reference tables to convert values
3. Having macro's in the process or complex excel operations
4. Activities which start with words like: Calculate, Validate, Determine, manipulate, transform, verify, create, apply rules, Assign, vlookup, check, etc 
5. Activities which work with encrypted data (to encrypt or to decrypt)</t>
    </r>
  </si>
  <si>
    <t>COMPLEX</t>
  </si>
  <si>
    <t>#4</t>
  </si>
  <si>
    <t>Number of Digital Layouts</t>
  </si>
  <si>
    <r>
      <rPr>
        <b/>
        <sz val="9"/>
        <color theme="1"/>
        <rFont val="Arial"/>
        <family val="2"/>
      </rPr>
      <t>Number of digital layouts (templates) to be used by RPA is 1-2</t>
    </r>
    <r>
      <rPr>
        <sz val="9"/>
        <color theme="1"/>
        <rFont val="Arial"/>
        <family val="2"/>
      </rPr>
      <t xml:space="preserve">
</t>
    </r>
    <r>
      <rPr>
        <b/>
        <sz val="9"/>
        <color theme="1"/>
        <rFont val="Arial"/>
        <family val="2"/>
      </rPr>
      <t>Description:</t>
    </r>
    <r>
      <rPr>
        <sz val="9"/>
        <color theme="1"/>
        <rFont val="Arial"/>
        <family val="2"/>
      </rPr>
      <t xml:space="preserve">  Any different input/output file should be treated as separate layouts. This can relate to different digital file extensions (e.g. pdf, xls) or it can be different templates within one file extension (e.g.each unique worksheets within one Excel file is one digital layout,  Month End Reconciliation Report, Approval Matrix)</t>
    </r>
  </si>
  <si>
    <r>
      <rPr>
        <b/>
        <sz val="9"/>
        <color theme="1"/>
        <rFont val="Arial"/>
        <family val="2"/>
      </rPr>
      <t>Number of digital layouts (templates) to be used by RPA is 3-4</t>
    </r>
    <r>
      <rPr>
        <sz val="9"/>
        <color theme="1"/>
        <rFont val="Arial"/>
        <family val="2"/>
      </rPr>
      <t xml:space="preserve">
</t>
    </r>
    <r>
      <rPr>
        <b/>
        <sz val="9"/>
        <color theme="1"/>
        <rFont val="Arial"/>
        <family val="2"/>
      </rPr>
      <t>Description:</t>
    </r>
    <r>
      <rPr>
        <sz val="9"/>
        <color theme="1"/>
        <rFont val="Arial"/>
        <family val="2"/>
      </rPr>
      <t xml:space="preserve">  Any different input/output file should be treated as separate layouts. This can relate to different digital file extensions (e.g. pdf, xls) or it can be different templates within one file extension (e.g.multiplwe worksheets within one Excel file,  Month End Reconciliation Report, Approval Matrix)</t>
    </r>
  </si>
  <si>
    <r>
      <rPr>
        <b/>
        <sz val="9"/>
        <color theme="1"/>
        <rFont val="Arial"/>
        <family val="2"/>
      </rPr>
      <t>Number of digital layouts (templates) to be used by RPA is 5-6</t>
    </r>
    <r>
      <rPr>
        <sz val="9"/>
        <color theme="1"/>
        <rFont val="Arial"/>
        <family val="2"/>
      </rPr>
      <t xml:space="preserve">
</t>
    </r>
    <r>
      <rPr>
        <b/>
        <sz val="9"/>
        <color theme="1"/>
        <rFont val="Arial"/>
        <family val="2"/>
      </rPr>
      <t>Description:</t>
    </r>
    <r>
      <rPr>
        <sz val="9"/>
        <color theme="1"/>
        <rFont val="Arial"/>
        <family val="2"/>
      </rPr>
      <t xml:space="preserve">  Any different input/output file should be treated as separate layouts. This can relate to different digital file extensions (e.g. pdf, xls) or it can be different templates within one file extension (e.g.multiplwe worksheets within one Excel file,  Month End Reconciliation Report, Approval Matrix)</t>
    </r>
  </si>
  <si>
    <r>
      <rPr>
        <b/>
        <sz val="9"/>
        <color theme="1"/>
        <rFont val="Arial"/>
        <family val="2"/>
      </rPr>
      <t>Number of digital layouts (templates) to be used by RPA is 7-10</t>
    </r>
    <r>
      <rPr>
        <sz val="9"/>
        <color theme="1"/>
        <rFont val="Arial"/>
        <family val="2"/>
      </rPr>
      <t xml:space="preserve">
</t>
    </r>
    <r>
      <rPr>
        <b/>
        <sz val="9"/>
        <color theme="1"/>
        <rFont val="Arial"/>
        <family val="2"/>
      </rPr>
      <t>Description:</t>
    </r>
    <r>
      <rPr>
        <sz val="9"/>
        <color theme="1"/>
        <rFont val="Arial"/>
        <family val="2"/>
      </rPr>
      <t xml:space="preserve">  Any different input/output file should be treated as separate layouts. This can relate to different digital file extensions (e.g. pdf, xls) or it can be different templates within one file extension (e.g.multiplwe worksheets within one Excel file,  Month End Reconciliation Report, Approval Matrix)</t>
    </r>
  </si>
  <si>
    <r>
      <rPr>
        <b/>
        <sz val="9"/>
        <color theme="1"/>
        <rFont val="Arial"/>
        <family val="2"/>
      </rPr>
      <t>Number of digital layouts (templates) to be used by RPA is 11-15</t>
    </r>
    <r>
      <rPr>
        <sz val="9"/>
        <color theme="1"/>
        <rFont val="Arial"/>
        <family val="2"/>
      </rPr>
      <t xml:space="preserve">
</t>
    </r>
    <r>
      <rPr>
        <b/>
        <sz val="9"/>
        <color theme="1"/>
        <rFont val="Arial"/>
        <family val="2"/>
      </rPr>
      <t>Description:</t>
    </r>
    <r>
      <rPr>
        <sz val="9"/>
        <color theme="1"/>
        <rFont val="Arial"/>
        <family val="2"/>
      </rPr>
      <t xml:space="preserve">  Any different input/output file should be treated as separate layouts. This can relate to different digital file extensions (e.g. pdf, xls) or it can be different templates within one file extension (e.g.multiplwe worksheets within one Excel file,  Month End Reconciliation Report, Approval Matrix)</t>
    </r>
  </si>
  <si>
    <t>#5</t>
  </si>
  <si>
    <t xml:space="preserve">Process Flows </t>
  </si>
  <si>
    <r>
      <rPr>
        <b/>
        <sz val="9"/>
        <color theme="1"/>
        <rFont val="Arial"/>
        <family val="2"/>
      </rPr>
      <t>Process flows - up to  2 flows (happy path &amp; exception path)</t>
    </r>
    <r>
      <rPr>
        <sz val="9"/>
        <color theme="1"/>
        <rFont val="Arial"/>
        <family val="2"/>
      </rPr>
      <t xml:space="preserve">
</t>
    </r>
    <r>
      <rPr>
        <b/>
        <sz val="9"/>
        <color theme="1"/>
        <rFont val="Arial"/>
        <family val="2"/>
      </rPr>
      <t>Description</t>
    </r>
    <r>
      <rPr>
        <sz val="9"/>
        <color theme="1"/>
        <rFont val="Arial"/>
        <family val="2"/>
      </rPr>
      <t xml:space="preserve">: Number of process paths including the standard happy path and each potential exception flow
</t>
    </r>
    <r>
      <rPr>
        <b/>
        <sz val="9"/>
        <color theme="1"/>
        <rFont val="Arial"/>
        <family val="2"/>
      </rPr>
      <t>Notes</t>
    </r>
    <r>
      <rPr>
        <sz val="9"/>
        <color theme="1"/>
        <rFont val="Arial"/>
        <family val="2"/>
      </rPr>
      <t>:The process flows are derived from splits in the process. As a result the flowchart path splits off into different independent branches. The additional flow needs to  contain more than 2 activities. The splits of the processes can derive form: decision points, Human action in the middle of the process flow, etc.</t>
    </r>
  </si>
  <si>
    <r>
      <rPr>
        <b/>
        <sz val="9"/>
        <color theme="1"/>
        <rFont val="Arial"/>
        <family val="2"/>
      </rPr>
      <t>Process flows - up to 4 flows (happy paths &amp; exception path)</t>
    </r>
    <r>
      <rPr>
        <sz val="9"/>
        <color theme="1"/>
        <rFont val="Arial"/>
        <family val="2"/>
      </rPr>
      <t xml:space="preserve">
</t>
    </r>
    <r>
      <rPr>
        <b/>
        <sz val="9"/>
        <color theme="1"/>
        <rFont val="Arial"/>
        <family val="2"/>
      </rPr>
      <t>Description</t>
    </r>
    <r>
      <rPr>
        <sz val="9"/>
        <color theme="1"/>
        <rFont val="Arial"/>
        <family val="2"/>
      </rPr>
      <t xml:space="preserve">: Number of process paths including the standard happy path and each potential exception flow
</t>
    </r>
    <r>
      <rPr>
        <b/>
        <sz val="9"/>
        <color theme="1"/>
        <rFont val="Arial"/>
        <family val="2"/>
      </rPr>
      <t>Notes</t>
    </r>
    <r>
      <rPr>
        <sz val="9"/>
        <color theme="1"/>
        <rFont val="Arial"/>
        <family val="2"/>
      </rPr>
      <t>:The process flows are derived from splits in the process. As a result the flowchart path splits off into different independent branches. The additional flow needs to  contain more than 2 activities. The splits of the processes can derive form: decision points, Human action in the middle of the process flow, etc.</t>
    </r>
  </si>
  <si>
    <r>
      <rPr>
        <b/>
        <sz val="9"/>
        <color theme="1"/>
        <rFont val="Arial"/>
        <family val="2"/>
      </rPr>
      <t>Process flows - up to 6 flows (happy paths &amp; exception path)</t>
    </r>
    <r>
      <rPr>
        <sz val="9"/>
        <color theme="1"/>
        <rFont val="Arial"/>
        <family val="2"/>
      </rPr>
      <t xml:space="preserve">
</t>
    </r>
    <r>
      <rPr>
        <b/>
        <sz val="9"/>
        <color theme="1"/>
        <rFont val="Arial"/>
        <family val="2"/>
      </rPr>
      <t>Description</t>
    </r>
    <r>
      <rPr>
        <sz val="9"/>
        <color theme="1"/>
        <rFont val="Arial"/>
        <family val="2"/>
      </rPr>
      <t xml:space="preserve">: Number of process paths including the standard happy path and each potential exception flow
</t>
    </r>
    <r>
      <rPr>
        <b/>
        <sz val="9"/>
        <color theme="1"/>
        <rFont val="Arial"/>
        <family val="2"/>
      </rPr>
      <t>Notes</t>
    </r>
    <r>
      <rPr>
        <sz val="9"/>
        <color theme="1"/>
        <rFont val="Arial"/>
        <family val="2"/>
      </rPr>
      <t>:The process flows are derived from splits in the process. As a result the flowchart path splits off into different independent branches. The additional flow needs to  contain more than 2 activities. The splits of the processes can derive form: decision points, Human action in the middle of the process flow, etc.</t>
    </r>
  </si>
  <si>
    <r>
      <rPr>
        <b/>
        <sz val="9"/>
        <color theme="1"/>
        <rFont val="Arial"/>
        <family val="2"/>
      </rPr>
      <t>Process flows - up to  8 flows (happy paths &amp; exception path)</t>
    </r>
    <r>
      <rPr>
        <sz val="9"/>
        <color theme="1"/>
        <rFont val="Arial"/>
        <family val="2"/>
      </rPr>
      <t xml:space="preserve">
</t>
    </r>
    <r>
      <rPr>
        <b/>
        <sz val="9"/>
        <color theme="1"/>
        <rFont val="Arial"/>
        <family val="2"/>
      </rPr>
      <t>Description</t>
    </r>
    <r>
      <rPr>
        <sz val="9"/>
        <color theme="1"/>
        <rFont val="Arial"/>
        <family val="2"/>
      </rPr>
      <t xml:space="preserve">: Number of process paths including the standard happy path and each potential exception flow
</t>
    </r>
    <r>
      <rPr>
        <b/>
        <sz val="9"/>
        <color theme="1"/>
        <rFont val="Arial"/>
        <family val="2"/>
      </rPr>
      <t>Notes</t>
    </r>
    <r>
      <rPr>
        <sz val="9"/>
        <color theme="1"/>
        <rFont val="Arial"/>
        <family val="2"/>
      </rPr>
      <t>:The process flows are derived from splits in the process. As a result the flowchart path splits off into different independent branches. The additional flow needs to  contain more than 2 activities. The splits of the processes can derive form: decision points, Human action in the middle of the process flow, etc.</t>
    </r>
  </si>
  <si>
    <r>
      <rPr>
        <b/>
        <sz val="9"/>
        <color theme="1"/>
        <rFont val="Arial"/>
        <family val="2"/>
      </rPr>
      <t>Process flows - up to  11 flows (happy paths &amp; exception path)</t>
    </r>
    <r>
      <rPr>
        <sz val="9"/>
        <color theme="1"/>
        <rFont val="Arial"/>
        <family val="2"/>
      </rPr>
      <t xml:space="preserve">
</t>
    </r>
    <r>
      <rPr>
        <b/>
        <sz val="9"/>
        <color theme="1"/>
        <rFont val="Arial"/>
        <family val="2"/>
      </rPr>
      <t>Description</t>
    </r>
    <r>
      <rPr>
        <sz val="9"/>
        <color theme="1"/>
        <rFont val="Arial"/>
        <family val="2"/>
      </rPr>
      <t xml:space="preserve">: Number of process paths including the standard happy path and each potential exception flow
</t>
    </r>
    <r>
      <rPr>
        <b/>
        <sz val="9"/>
        <color theme="1"/>
        <rFont val="Arial"/>
        <family val="2"/>
      </rPr>
      <t>Notes</t>
    </r>
    <r>
      <rPr>
        <sz val="9"/>
        <color theme="1"/>
        <rFont val="Arial"/>
        <family val="2"/>
      </rPr>
      <t>:The process flows are derived from splits in the process. As a result the flowchart path splits off into different independent branches. The additional flow needs to  contain more than 2 activities. The splits of the processes can derive form: decision points, Human action in the middle of the process flow, etc.</t>
    </r>
  </si>
  <si>
    <r>
      <t>*</t>
    </r>
    <r>
      <rPr>
        <i/>
        <sz val="8"/>
        <color rgb="FF0432FF"/>
        <rFont val="Arial"/>
        <family val="2"/>
      </rPr>
      <t xml:space="preserve">If your scenario exceeds the parameter given, consult a senior developer for separate sizing since additional development hrs might be required. </t>
    </r>
  </si>
  <si>
    <t>Score</t>
  </si>
  <si>
    <t>Project Classification</t>
  </si>
  <si>
    <r>
      <rPr>
        <b/>
        <sz val="9"/>
        <color theme="1"/>
        <rFont val="Arial"/>
        <family val="2"/>
      </rPr>
      <t>Requires 1 application or interface to execute</t>
    </r>
    <r>
      <rPr>
        <sz val="9"/>
        <color theme="1"/>
        <rFont val="Arial"/>
        <family val="2"/>
      </rPr>
      <t xml:space="preserve">
</t>
    </r>
    <r>
      <rPr>
        <b/>
        <sz val="9"/>
        <color theme="1"/>
        <rFont val="Arial"/>
        <family val="2"/>
      </rPr>
      <t>Description:</t>
    </r>
    <r>
      <rPr>
        <sz val="9"/>
        <color theme="1"/>
        <rFont val="Arial"/>
        <family val="2"/>
      </rPr>
      <t xml:space="preserve"> Application used to perform the process, eg Web, Excel, Outlook</t>
    </r>
  </si>
  <si>
    <r>
      <rPr>
        <b/>
        <sz val="9"/>
        <color theme="1"/>
        <rFont val="Arial"/>
        <family val="2"/>
      </rPr>
      <t>Requires 2 application or interface to execute</t>
    </r>
    <r>
      <rPr>
        <sz val="9"/>
        <color theme="1"/>
        <rFont val="Arial"/>
        <family val="2"/>
      </rPr>
      <t xml:space="preserve">
</t>
    </r>
    <r>
      <rPr>
        <b/>
        <sz val="9"/>
        <color theme="1"/>
        <rFont val="Arial"/>
        <family val="2"/>
      </rPr>
      <t xml:space="preserve">Description: </t>
    </r>
    <r>
      <rPr>
        <sz val="9"/>
        <color theme="1"/>
        <rFont val="Arial"/>
        <family val="2"/>
      </rPr>
      <t>Application used to perform the process, eg SAP, Excel, Outlook</t>
    </r>
  </si>
  <si>
    <r>
      <rPr>
        <b/>
        <sz val="9"/>
        <color theme="1"/>
        <rFont val="Arial"/>
        <family val="2"/>
      </rPr>
      <t>Requires 3-4 application or interface to execute</t>
    </r>
    <r>
      <rPr>
        <sz val="9"/>
        <color theme="1"/>
        <rFont val="Arial"/>
        <family val="2"/>
      </rPr>
      <t xml:space="preserve">
</t>
    </r>
    <r>
      <rPr>
        <b/>
        <sz val="9"/>
        <color theme="1"/>
        <rFont val="Arial"/>
        <family val="2"/>
      </rPr>
      <t xml:space="preserve">Description: </t>
    </r>
    <r>
      <rPr>
        <sz val="9"/>
        <color theme="1"/>
        <rFont val="Arial"/>
        <family val="2"/>
      </rPr>
      <t>Application used to perform the process, eg Web, Excel, Outlook</t>
    </r>
  </si>
  <si>
    <r>
      <rPr>
        <b/>
        <sz val="9"/>
        <color theme="1"/>
        <rFont val="Arial"/>
        <family val="2"/>
      </rPr>
      <t>Requires 5-6 application or interface to execute</t>
    </r>
    <r>
      <rPr>
        <sz val="9"/>
        <color theme="1"/>
        <rFont val="Arial"/>
        <family val="2"/>
      </rPr>
      <t xml:space="preserve">
</t>
    </r>
    <r>
      <rPr>
        <b/>
        <sz val="9"/>
        <color theme="1"/>
        <rFont val="Arial"/>
        <family val="2"/>
      </rPr>
      <t xml:space="preserve">Description: </t>
    </r>
    <r>
      <rPr>
        <sz val="9"/>
        <color theme="1"/>
        <rFont val="Arial"/>
        <family val="2"/>
      </rPr>
      <t>Application used to perform the process, eg Web, Excel, Outlook</t>
    </r>
  </si>
  <si>
    <r>
      <rPr>
        <b/>
        <sz val="9"/>
        <color theme="1"/>
        <rFont val="Arial"/>
        <family val="2"/>
      </rPr>
      <t>Requires 7-8 application or interface to execute</t>
    </r>
    <r>
      <rPr>
        <sz val="9"/>
        <color theme="1"/>
        <rFont val="Arial"/>
        <family val="2"/>
      </rPr>
      <t xml:space="preserve">
</t>
    </r>
    <r>
      <rPr>
        <b/>
        <sz val="9"/>
        <color theme="1"/>
        <rFont val="Arial"/>
        <family val="2"/>
      </rPr>
      <t xml:space="preserve">Description: </t>
    </r>
    <r>
      <rPr>
        <sz val="9"/>
        <color theme="1"/>
        <rFont val="Arial"/>
        <family val="2"/>
      </rPr>
      <t>Application used to perform the process, eg Web, Excel, Outlook</t>
    </r>
  </si>
  <si>
    <r>
      <rPr>
        <b/>
        <sz val="9"/>
        <color theme="1"/>
        <rFont val="Arial"/>
        <family val="2"/>
      </rPr>
      <t xml:space="preserve">Number of activities to be automated is 5- 10 
</t>
    </r>
    <r>
      <rPr>
        <sz val="9"/>
        <color theme="1"/>
        <rFont val="Arial"/>
        <family val="2"/>
      </rPr>
      <t xml:space="preserve">
</t>
    </r>
    <r>
      <rPr>
        <b/>
        <sz val="9"/>
        <color theme="1"/>
        <rFont val="Arial"/>
        <family val="2"/>
      </rPr>
      <t>Description:</t>
    </r>
    <r>
      <rPr>
        <sz val="9"/>
        <color theme="1"/>
        <rFont val="Arial"/>
        <family val="2"/>
      </rPr>
      <t xml:space="preserve"> Activity is single key step performed to execute a process containing no more than 7 tasks
</t>
    </r>
    <r>
      <rPr>
        <b/>
        <sz val="9"/>
        <color theme="1"/>
        <rFont val="Arial"/>
        <family val="2"/>
      </rPr>
      <t>Example Activity</t>
    </r>
    <r>
      <rPr>
        <sz val="9"/>
        <color theme="1"/>
        <rFont val="Arial"/>
        <family val="2"/>
      </rPr>
      <t xml:space="preserve">: Login
</t>
    </r>
    <r>
      <rPr>
        <b/>
        <sz val="9"/>
        <color theme="1"/>
        <rFont val="Arial"/>
        <family val="2"/>
      </rPr>
      <t>Example Tasks</t>
    </r>
    <r>
      <rPr>
        <sz val="9"/>
        <color theme="1"/>
        <rFont val="Arial"/>
        <family val="2"/>
      </rPr>
      <t>:  Launch browser, goto URL, Enter User, Enter Password, Click on submit button, etc</t>
    </r>
  </si>
  <si>
    <r>
      <rPr>
        <b/>
        <sz val="9"/>
        <color theme="1"/>
        <rFont val="Arial"/>
        <family val="2"/>
      </rPr>
      <t xml:space="preserve">Number of activities to be automated is 11 - 20
</t>
    </r>
    <r>
      <rPr>
        <sz val="9"/>
        <color theme="1"/>
        <rFont val="Arial"/>
        <family val="2"/>
      </rPr>
      <t xml:space="preserve">
</t>
    </r>
    <r>
      <rPr>
        <b/>
        <sz val="9"/>
        <color theme="1"/>
        <rFont val="Arial"/>
        <family val="2"/>
      </rPr>
      <t xml:space="preserve"> Description</t>
    </r>
    <r>
      <rPr>
        <sz val="9"/>
        <color theme="1"/>
        <rFont val="Arial"/>
        <family val="2"/>
      </rPr>
      <t xml:space="preserve">: Activity is single key step performed to execute a process containing no more than 7 tasks
</t>
    </r>
    <r>
      <rPr>
        <b/>
        <sz val="9"/>
        <color theme="1"/>
        <rFont val="Arial"/>
        <family val="2"/>
      </rPr>
      <t>Example Activity</t>
    </r>
    <r>
      <rPr>
        <sz val="9"/>
        <color theme="1"/>
        <rFont val="Arial"/>
        <family val="2"/>
      </rPr>
      <t xml:space="preserve">: Login
</t>
    </r>
    <r>
      <rPr>
        <b/>
        <sz val="9"/>
        <color theme="1"/>
        <rFont val="Arial"/>
        <family val="2"/>
      </rPr>
      <t>Example Tasks</t>
    </r>
    <r>
      <rPr>
        <sz val="9"/>
        <color theme="1"/>
        <rFont val="Arial"/>
        <family val="2"/>
      </rPr>
      <t>:  Launch browser, goto URL, Enter User, Enter Password, Click on submit button, etc</t>
    </r>
  </si>
  <si>
    <r>
      <rPr>
        <b/>
        <sz val="9"/>
        <color theme="1"/>
        <rFont val="Arial"/>
        <family val="2"/>
      </rPr>
      <t xml:space="preserve">Number of activities to be automated is between 21 -  40
</t>
    </r>
    <r>
      <rPr>
        <sz val="9"/>
        <color theme="1"/>
        <rFont val="Arial"/>
        <family val="2"/>
      </rPr>
      <t xml:space="preserve">
</t>
    </r>
    <r>
      <rPr>
        <b/>
        <sz val="9"/>
        <color theme="1"/>
        <rFont val="Arial"/>
        <family val="2"/>
      </rPr>
      <t>Description</t>
    </r>
    <r>
      <rPr>
        <sz val="9"/>
        <color theme="1"/>
        <rFont val="Arial"/>
        <family val="2"/>
      </rPr>
      <t xml:space="preserve">: Activity is single key step performed to execute a process containing no more than 7 tasks
</t>
    </r>
    <r>
      <rPr>
        <b/>
        <sz val="9"/>
        <color theme="1"/>
        <rFont val="Arial"/>
        <family val="2"/>
      </rPr>
      <t>Example Activity</t>
    </r>
    <r>
      <rPr>
        <sz val="9"/>
        <color theme="1"/>
        <rFont val="Arial"/>
        <family val="2"/>
      </rPr>
      <t xml:space="preserve">: Login to application
</t>
    </r>
    <r>
      <rPr>
        <b/>
        <sz val="9"/>
        <color theme="1"/>
        <rFont val="Arial"/>
        <family val="2"/>
      </rPr>
      <t>Example Tasks</t>
    </r>
    <r>
      <rPr>
        <sz val="9"/>
        <color theme="1"/>
        <rFont val="Arial"/>
        <family val="2"/>
      </rPr>
      <t>:  Launch browser, Input URL, Enter User, Enter Password, Click on submit button, etc</t>
    </r>
  </si>
  <si>
    <r>
      <rPr>
        <b/>
        <sz val="9"/>
        <color theme="1"/>
        <rFont val="Arial"/>
        <family val="2"/>
      </rPr>
      <t xml:space="preserve">Number of activities to be automated is between 41 -  60
</t>
    </r>
    <r>
      <rPr>
        <sz val="9"/>
        <color theme="1"/>
        <rFont val="Arial"/>
        <family val="2"/>
      </rPr>
      <t xml:space="preserve">
</t>
    </r>
    <r>
      <rPr>
        <b/>
        <sz val="9"/>
        <color theme="1"/>
        <rFont val="Arial"/>
        <family val="2"/>
      </rPr>
      <t>Description</t>
    </r>
    <r>
      <rPr>
        <sz val="9"/>
        <color theme="1"/>
        <rFont val="Arial"/>
        <family val="2"/>
      </rPr>
      <t xml:space="preserve">: Activity is single key step performed to execute a process containing no more than 7 tasks
</t>
    </r>
    <r>
      <rPr>
        <b/>
        <sz val="9"/>
        <color theme="1"/>
        <rFont val="Arial"/>
        <family val="2"/>
      </rPr>
      <t>Example Activity</t>
    </r>
    <r>
      <rPr>
        <sz val="9"/>
        <color theme="1"/>
        <rFont val="Arial"/>
        <family val="2"/>
      </rPr>
      <t xml:space="preserve">: Login
</t>
    </r>
    <r>
      <rPr>
        <b/>
        <sz val="9"/>
        <color theme="1"/>
        <rFont val="Arial"/>
        <family val="2"/>
      </rPr>
      <t>Example Tasks</t>
    </r>
    <r>
      <rPr>
        <sz val="9"/>
        <color theme="1"/>
        <rFont val="Arial"/>
        <family val="2"/>
      </rPr>
      <t>:  Launch browser, goto URL, Enter User, Enter Password, Click on submit button, etc</t>
    </r>
  </si>
  <si>
    <r>
      <rPr>
        <b/>
        <sz val="9"/>
        <color theme="1"/>
        <rFont val="Arial"/>
        <family val="2"/>
      </rPr>
      <t>Number of activities to be automated is &lt; =4</t>
    </r>
    <r>
      <rPr>
        <sz val="9"/>
        <color theme="1"/>
        <rFont val="Arial"/>
        <family val="2"/>
      </rPr>
      <t xml:space="preserve">
</t>
    </r>
    <r>
      <rPr>
        <b/>
        <sz val="9"/>
        <color theme="1"/>
        <rFont val="Arial"/>
        <family val="2"/>
      </rPr>
      <t>Description:</t>
    </r>
    <r>
      <rPr>
        <sz val="9"/>
        <color theme="1"/>
        <rFont val="Arial"/>
        <family val="2"/>
      </rPr>
      <t xml:space="preserve"> Activity is single key step performed to execute a process containing no more than 7 tasks
</t>
    </r>
    <r>
      <rPr>
        <b/>
        <sz val="9"/>
        <color theme="1"/>
        <rFont val="Arial"/>
        <family val="2"/>
      </rPr>
      <t>Example Activity</t>
    </r>
    <r>
      <rPr>
        <sz val="9"/>
        <color theme="1"/>
        <rFont val="Arial"/>
        <family val="2"/>
      </rPr>
      <t xml:space="preserve">: Login
</t>
    </r>
    <r>
      <rPr>
        <b/>
        <sz val="9"/>
        <color theme="1"/>
        <rFont val="Arial"/>
        <family val="2"/>
      </rPr>
      <t>Example Tasks</t>
    </r>
    <r>
      <rPr>
        <sz val="9"/>
        <color theme="1"/>
        <rFont val="Arial"/>
        <family val="2"/>
      </rPr>
      <t>:  Launch browser, goto URL, Enter User, Enter Password, Click on submit button,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</si>
</sst>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34" x14ac:knownFonts="1">
    <font>
      <sz val="11"/>
      <color theme="1"/>
      <name val="Calibri"/>
      <family val="2"/>
      <scheme val="minor"/>
    </font>
    <font>
      <sz val="10"/>
      <name val="Verdana"/>
      <family val="2"/>
    </font>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b/>
      <sz val="14"/>
      <color theme="1"/>
      <name val="Calibri"/>
      <family val="2"/>
      <scheme val="minor"/>
    </font>
    <font>
      <b/>
      <i/>
      <sz val="11"/>
      <color theme="1"/>
      <name val="Calibri"/>
      <family val="2"/>
      <scheme val="minor"/>
    </font>
    <font>
      <b/>
      <sz val="11"/>
      <color rgb="FFFF0000"/>
      <name val="Calibri"/>
      <family val="2"/>
      <scheme val="minor"/>
    </font>
    <font>
      <sz val="11"/>
      <color theme="0"/>
      <name val="Calibri"/>
      <family val="2"/>
      <scheme val="minor"/>
    </font>
    <font>
      <sz val="8"/>
      <color theme="1"/>
      <name val="Calibri"/>
      <family val="2"/>
      <scheme val="minor"/>
    </font>
    <font>
      <b/>
      <sz val="14"/>
      <color theme="4" tint="-0.499984740745262"/>
      <name val="Cambria"/>
      <family val="1"/>
      <scheme val="major"/>
    </font>
    <font>
      <b/>
      <i/>
      <sz val="18"/>
      <color theme="0"/>
      <name val="Calibri"/>
      <family val="2"/>
      <scheme val="minor"/>
    </font>
    <font>
      <sz val="11"/>
      <color theme="1"/>
      <name val="Arial"/>
      <family val="2"/>
    </font>
    <font>
      <b/>
      <sz val="9"/>
      <name val="Arial"/>
      <family val="2"/>
    </font>
    <font>
      <b/>
      <sz val="9"/>
      <color rgb="FFFF0000"/>
      <name val="Arial"/>
      <family val="2"/>
    </font>
    <font>
      <b/>
      <sz val="16"/>
      <color theme="1"/>
      <name val="Calibri"/>
      <family val="2"/>
      <scheme val="minor"/>
    </font>
    <font>
      <b/>
      <i/>
      <sz val="14"/>
      <color theme="0"/>
      <name val="Calibri"/>
      <family val="2"/>
      <scheme val="minor"/>
    </font>
    <font>
      <i/>
      <sz val="11"/>
      <color rgb="FF0432FF"/>
      <name val="Calibri"/>
      <family val="2"/>
      <scheme val="minor"/>
    </font>
    <font>
      <b/>
      <i/>
      <sz val="10"/>
      <color theme="4" tint="-0.499984740745262"/>
      <name val="Cambria"/>
      <family val="1"/>
      <scheme val="major"/>
    </font>
    <font>
      <b/>
      <sz val="12"/>
      <color theme="1"/>
      <name val="Cambria"/>
      <family val="1"/>
      <scheme val="major"/>
    </font>
    <font>
      <b/>
      <sz val="10"/>
      <color theme="4" tint="-0.499984740745262"/>
      <name val="Cambria"/>
      <family val="1"/>
      <scheme val="major"/>
    </font>
    <font>
      <i/>
      <sz val="11"/>
      <color theme="4" tint="-0.499984740745262"/>
      <name val="Cambria"/>
      <family val="1"/>
      <scheme val="major"/>
    </font>
    <font>
      <b/>
      <sz val="11"/>
      <color theme="4" tint="-0.499984740745262"/>
      <name val="Cambria"/>
      <family val="1"/>
      <scheme val="major"/>
    </font>
    <font>
      <b/>
      <sz val="16"/>
      <color theme="4" tint="-0.499984740745262"/>
      <name val="Cambria"/>
      <family val="1"/>
      <scheme val="major"/>
    </font>
    <font>
      <sz val="9"/>
      <color theme="1"/>
      <name val="Arial"/>
      <family val="2"/>
    </font>
    <font>
      <b/>
      <i/>
      <sz val="11"/>
      <color theme="0"/>
      <name val="Calibri"/>
      <family val="2"/>
      <scheme val="minor"/>
    </font>
    <font>
      <b/>
      <sz val="9"/>
      <color theme="1"/>
      <name val="Arial"/>
      <family val="2"/>
    </font>
    <font>
      <sz val="12"/>
      <color theme="1"/>
      <name val="Calibri"/>
      <family val="2"/>
      <scheme val="minor"/>
    </font>
    <font>
      <sz val="8"/>
      <color rgb="FFFF0000"/>
      <name val="Calibri"/>
      <family val="2"/>
      <scheme val="minor"/>
    </font>
    <font>
      <i/>
      <sz val="8"/>
      <color rgb="FF0432FF"/>
      <name val="Arial"/>
      <family val="2"/>
    </font>
    <font>
      <sz val="9"/>
      <color rgb="FFFF0000"/>
      <name val="Arial"/>
      <family val="2"/>
    </font>
    <font>
      <b/>
      <sz val="14"/>
      <color theme="4" tint="-0.499984740745262"/>
      <name val="Arial"/>
      <family val="2"/>
    </font>
    <font>
      <b/>
      <sz val="10"/>
      <color theme="4" tint="-0.499984740745262"/>
      <name val="Arial"/>
      <family val="2"/>
    </font>
  </fonts>
  <fills count="1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3" tint="-0.249977111117893"/>
        <bgColor indexed="64"/>
      </patternFill>
    </fill>
    <fill>
      <patternFill patternType="solid">
        <fgColor indexed="9"/>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2" tint="-0.89999084444715716"/>
        <bgColor indexed="64"/>
      </patternFill>
    </fill>
    <fill>
      <patternFill patternType="solid">
        <fgColor theme="1"/>
        <bgColor indexed="64"/>
      </patternFill>
    </fill>
    <fill>
      <patternFill patternType="solid">
        <fgColor theme="4"/>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hair">
        <color theme="1"/>
      </left>
      <right/>
      <top style="hair">
        <color theme="1"/>
      </top>
      <bottom style="hair">
        <color theme="1"/>
      </bottom>
      <diagonal/>
    </border>
    <border>
      <left style="medium">
        <color indexed="64"/>
      </left>
      <right style="thin">
        <color indexed="64"/>
      </right>
      <top style="thin">
        <color indexed="64"/>
      </top>
      <bottom style="thin">
        <color indexed="64"/>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indexed="64"/>
      </left>
      <right style="medium">
        <color indexed="64"/>
      </right>
      <top style="thin">
        <color indexed="64"/>
      </top>
      <bottom style="thin">
        <color indexed="64"/>
      </bottom>
      <diagonal/>
    </border>
  </borders>
  <cellStyleXfs count="3">
    <xf numFmtId="0" fontId="0" fillId="0" borderId="0"/>
    <xf numFmtId="0" fontId="1" fillId="0" borderId="0"/>
    <xf numFmtId="0" fontId="28" fillId="0" borderId="0"/>
  </cellStyleXfs>
  <cellXfs count="83">
    <xf numFmtId="0" fontId="0" fillId="0" borderId="0" xfId="0"/>
    <xf numFmtId="0" fontId="2" fillId="0" borderId="0" xfId="2" applyFont="1"/>
    <xf numFmtId="0" fontId="2" fillId="2" borderId="0" xfId="2" applyFont="1" applyFill="1"/>
    <xf numFmtId="0" fontId="24" fillId="0" borderId="0" xfId="2" applyFont="1"/>
    <xf numFmtId="0" fontId="10" fillId="0" borderId="0" xfId="2" applyFont="1"/>
    <xf numFmtId="0" fontId="2" fillId="0" borderId="0" xfId="2" applyFont="1" applyAlignment="1">
      <alignment horizontal="center"/>
    </xf>
    <xf numFmtId="0" fontId="11" fillId="0" borderId="0" xfId="2" applyFont="1"/>
    <xf numFmtId="0" fontId="20" fillId="0" borderId="0" xfId="2" applyFont="1"/>
    <xf numFmtId="0" fontId="23" fillId="0" borderId="0" xfId="2" applyFont="1" applyAlignment="1">
      <alignment horizontal="left" indent="1"/>
    </xf>
    <xf numFmtId="0" fontId="22" fillId="0" borderId="0" xfId="2" applyFont="1" applyAlignment="1">
      <alignment horizontal="left" indent="1"/>
    </xf>
    <xf numFmtId="0" fontId="21" fillId="0" borderId="0" xfId="2" applyFont="1" applyAlignment="1">
      <alignment horizontal="left" indent="1"/>
    </xf>
    <xf numFmtId="0" fontId="19" fillId="0" borderId="0" xfId="2" applyFont="1" applyAlignment="1">
      <alignment horizontal="left" indent="1"/>
    </xf>
    <xf numFmtId="0" fontId="18" fillId="0" borderId="0" xfId="2" applyFont="1" applyAlignment="1">
      <alignment horizontal="left" indent="1"/>
    </xf>
    <xf numFmtId="0" fontId="10" fillId="2" borderId="0" xfId="2" applyFont="1" applyFill="1"/>
    <xf numFmtId="0" fontId="2" fillId="0" borderId="1" xfId="2" applyFont="1" applyBorder="1"/>
    <xf numFmtId="0" fontId="28" fillId="0" borderId="1" xfId="2" applyBorder="1"/>
    <xf numFmtId="0" fontId="9" fillId="13" borderId="0" xfId="2" applyFont="1" applyFill="1"/>
    <xf numFmtId="0" fontId="16" fillId="5" borderId="10" xfId="2" applyFont="1" applyFill="1" applyBorder="1" applyAlignment="1">
      <alignment horizontal="center" wrapText="1"/>
    </xf>
    <xf numFmtId="0" fontId="16" fillId="11" borderId="10" xfId="2" applyFont="1" applyFill="1" applyBorder="1" applyAlignment="1">
      <alignment horizontal="center"/>
    </xf>
    <xf numFmtId="0" fontId="3" fillId="11" borderId="9" xfId="2" applyFont="1" applyFill="1" applyBorder="1" applyAlignment="1">
      <alignment horizontal="center" vertical="center"/>
    </xf>
    <xf numFmtId="0" fontId="10" fillId="0" borderId="9" xfId="2" applyFont="1" applyBorder="1"/>
    <xf numFmtId="0" fontId="16" fillId="10" borderId="9" xfId="2" applyFont="1" applyFill="1" applyBorder="1" applyAlignment="1">
      <alignment horizontal="center"/>
    </xf>
    <xf numFmtId="0" fontId="3" fillId="10" borderId="9" xfId="2" applyFont="1" applyFill="1" applyBorder="1" applyAlignment="1">
      <alignment horizontal="center" vertical="center"/>
    </xf>
    <xf numFmtId="0" fontId="16" fillId="9" borderId="9" xfId="2" applyFont="1" applyFill="1" applyBorder="1" applyAlignment="1">
      <alignment horizontal="center"/>
    </xf>
    <xf numFmtId="0" fontId="3" fillId="9" borderId="9" xfId="2" applyFont="1" applyFill="1" applyBorder="1" applyAlignment="1">
      <alignment horizontal="center" vertical="center"/>
    </xf>
    <xf numFmtId="0" fontId="16" fillId="8" borderId="9" xfId="2" applyFont="1" applyFill="1" applyBorder="1" applyAlignment="1">
      <alignment horizontal="center"/>
    </xf>
    <xf numFmtId="0" fontId="3" fillId="8" borderId="8" xfId="2" applyFont="1" applyFill="1" applyBorder="1" applyAlignment="1">
      <alignment horizontal="center" vertical="center"/>
    </xf>
    <xf numFmtId="0" fontId="16" fillId="5" borderId="7" xfId="2" applyFont="1" applyFill="1" applyBorder="1" applyAlignment="1">
      <alignment horizontal="center" vertical="center"/>
    </xf>
    <xf numFmtId="0" fontId="16" fillId="5" borderId="1" xfId="2" applyFont="1" applyFill="1" applyBorder="1" applyAlignment="1">
      <alignment horizontal="center" vertical="center"/>
    </xf>
    <xf numFmtId="0" fontId="16" fillId="5" borderId="11" xfId="2" applyFont="1" applyFill="1" applyBorder="1" applyAlignment="1">
      <alignment horizontal="center" vertical="center"/>
    </xf>
    <xf numFmtId="0" fontId="14" fillId="7" borderId="1" xfId="2" applyFont="1" applyFill="1" applyBorder="1" applyAlignment="1">
      <alignment horizontal="center" vertical="center" wrapText="1"/>
    </xf>
    <xf numFmtId="2" fontId="2" fillId="2" borderId="1" xfId="2" applyNumberFormat="1" applyFont="1" applyFill="1" applyBorder="1"/>
    <xf numFmtId="0" fontId="5" fillId="2" borderId="0" xfId="2" applyFont="1" applyFill="1"/>
    <xf numFmtId="0" fontId="26" fillId="13" borderId="6" xfId="2" applyFont="1" applyFill="1" applyBorder="1" applyAlignment="1">
      <alignment horizontal="center" vertical="center"/>
    </xf>
    <xf numFmtId="0" fontId="25" fillId="2" borderId="5" xfId="2" applyFont="1" applyFill="1" applyBorder="1" applyAlignment="1">
      <alignment horizontal="left" vertical="center" wrapText="1" readingOrder="1"/>
    </xf>
    <xf numFmtId="0" fontId="3" fillId="2" borderId="1" xfId="2" applyFont="1" applyFill="1" applyBorder="1" applyAlignment="1" applyProtection="1">
      <alignment horizontal="center" vertical="center"/>
      <protection locked="0"/>
    </xf>
    <xf numFmtId="2" fontId="10" fillId="2" borderId="1" xfId="2" applyNumberFormat="1" applyFont="1" applyFill="1" applyBorder="1"/>
    <xf numFmtId="2" fontId="10" fillId="2" borderId="0" xfId="2" applyNumberFormat="1" applyFont="1" applyFill="1"/>
    <xf numFmtId="0" fontId="2" fillId="2" borderId="7" xfId="2" applyFont="1" applyFill="1" applyBorder="1" applyAlignment="1">
      <alignment horizontal="center"/>
    </xf>
    <xf numFmtId="0" fontId="2" fillId="2" borderId="1" xfId="2" applyFont="1" applyFill="1" applyBorder="1" applyAlignment="1">
      <alignment horizontal="center"/>
    </xf>
    <xf numFmtId="164" fontId="14" fillId="2" borderId="1" xfId="2" applyNumberFormat="1" applyFont="1" applyFill="1" applyBorder="1" applyAlignment="1">
      <alignment horizontal="center" vertical="center" wrapText="1"/>
    </xf>
    <xf numFmtId="164" fontId="15" fillId="2" borderId="1" xfId="2" applyNumberFormat="1" applyFont="1" applyFill="1" applyBorder="1" applyAlignment="1">
      <alignment horizontal="center" vertical="center" wrapText="1"/>
    </xf>
    <xf numFmtId="0" fontId="14" fillId="2" borderId="1" xfId="2" applyFont="1" applyFill="1" applyBorder="1" applyAlignment="1">
      <alignment horizontal="center" vertical="center" wrapText="1"/>
    </xf>
    <xf numFmtId="0" fontId="25" fillId="0" borderId="5" xfId="2" applyFont="1" applyBorder="1" applyAlignment="1">
      <alignment horizontal="left" vertical="center" wrapText="1" readingOrder="1"/>
    </xf>
    <xf numFmtId="0" fontId="3" fillId="0" borderId="1" xfId="2" applyFont="1" applyBorder="1" applyAlignment="1" applyProtection="1">
      <alignment horizontal="center" vertical="center"/>
      <protection locked="0"/>
    </xf>
    <xf numFmtId="2" fontId="10" fillId="0" borderId="1" xfId="2" applyNumberFormat="1" applyFont="1" applyBorder="1"/>
    <xf numFmtId="2" fontId="10" fillId="0" borderId="0" xfId="2" applyNumberFormat="1" applyFont="1"/>
    <xf numFmtId="0" fontId="4" fillId="0" borderId="1" xfId="2" applyFont="1" applyBorder="1"/>
    <xf numFmtId="0" fontId="4" fillId="0" borderId="0" xfId="2" applyFont="1"/>
    <xf numFmtId="0" fontId="4" fillId="2" borderId="0" xfId="2" applyFont="1" applyFill="1"/>
    <xf numFmtId="2" fontId="29" fillId="2" borderId="0" xfId="2" applyNumberFormat="1" applyFont="1" applyFill="1"/>
    <xf numFmtId="2" fontId="29" fillId="0" borderId="0" xfId="2" applyNumberFormat="1" applyFont="1"/>
    <xf numFmtId="0" fontId="8" fillId="0" borderId="2" xfId="2" applyFont="1" applyBorder="1" applyAlignment="1">
      <alignment horizontal="center"/>
    </xf>
    <xf numFmtId="0" fontId="8" fillId="0" borderId="3" xfId="2" applyFont="1" applyBorder="1" applyAlignment="1">
      <alignment horizontal="center"/>
    </xf>
    <xf numFmtId="0" fontId="8" fillId="0" borderId="4" xfId="2" applyFont="1" applyBorder="1" applyAlignment="1">
      <alignment horizontal="center"/>
    </xf>
    <xf numFmtId="9" fontId="9" fillId="0" borderId="0" xfId="2" applyNumberFormat="1" applyFont="1"/>
    <xf numFmtId="0" fontId="2" fillId="2" borderId="0" xfId="2" applyFont="1" applyFill="1" applyAlignment="1">
      <alignment wrapText="1"/>
    </xf>
    <xf numFmtId="0" fontId="9" fillId="2" borderId="0" xfId="2" applyFont="1" applyFill="1"/>
    <xf numFmtId="0" fontId="3" fillId="0" borderId="1" xfId="2" applyFont="1" applyBorder="1" applyAlignment="1">
      <alignment wrapText="1"/>
    </xf>
    <xf numFmtId="2" fontId="2" fillId="0" borderId="1" xfId="2" applyNumberFormat="1" applyFont="1" applyBorder="1" applyAlignment="1">
      <alignment wrapText="1"/>
    </xf>
    <xf numFmtId="0" fontId="12" fillId="6" borderId="1" xfId="2" applyFont="1" applyFill="1" applyBorder="1" applyAlignment="1">
      <alignment horizontal="center" vertical="center" wrapText="1"/>
    </xf>
    <xf numFmtId="0" fontId="31" fillId="2" borderId="0" xfId="2" applyFont="1" applyFill="1" applyAlignment="1">
      <alignment horizontal="left" vertical="center" wrapText="1" indent="2" readingOrder="1"/>
    </xf>
    <xf numFmtId="0" fontId="2" fillId="0" borderId="0" xfId="2" applyFont="1" applyAlignment="1">
      <alignment wrapText="1"/>
    </xf>
    <xf numFmtId="0" fontId="6" fillId="3" borderId="1" xfId="2" applyFont="1" applyFill="1" applyBorder="1" applyAlignment="1">
      <alignment horizontal="center"/>
    </xf>
    <xf numFmtId="165" fontId="6" fillId="3" borderId="1" xfId="2" applyNumberFormat="1" applyFont="1" applyFill="1" applyBorder="1" applyAlignment="1">
      <alignment horizontal="center"/>
    </xf>
    <xf numFmtId="9" fontId="6" fillId="3" borderId="1" xfId="2" applyNumberFormat="1" applyFont="1" applyFill="1" applyBorder="1" applyAlignment="1">
      <alignment horizontal="center"/>
    </xf>
    <xf numFmtId="0" fontId="7" fillId="3" borderId="1" xfId="2" applyFont="1" applyFill="1" applyBorder="1" applyAlignment="1">
      <alignment horizontal="center" vertical="center" wrapText="1"/>
    </xf>
    <xf numFmtId="0" fontId="26" fillId="14" borderId="6" xfId="2" applyFont="1" applyFill="1" applyBorder="1" applyAlignment="1">
      <alignment horizontal="center" vertical="center"/>
    </xf>
    <xf numFmtId="0" fontId="16" fillId="15" borderId="9" xfId="2" applyFont="1" applyFill="1" applyBorder="1" applyAlignment="1">
      <alignment horizontal="center"/>
    </xf>
    <xf numFmtId="0" fontId="3" fillId="15" borderId="8" xfId="2" applyFont="1" applyFill="1" applyBorder="1" applyAlignment="1">
      <alignment horizontal="center" vertical="center"/>
    </xf>
    <xf numFmtId="164" fontId="14" fillId="7" borderId="1" xfId="2" applyNumberFormat="1" applyFont="1" applyFill="1" applyBorder="1" applyAlignment="1">
      <alignment horizontal="center" vertical="center" wrapText="1"/>
    </xf>
    <xf numFmtId="0" fontId="7" fillId="16" borderId="1" xfId="2" applyFont="1" applyFill="1" applyBorder="1" applyAlignment="1">
      <alignment horizontal="center" vertical="center" wrapText="1"/>
    </xf>
    <xf numFmtId="0" fontId="1" fillId="2" borderId="0" xfId="1" applyFill="1"/>
    <xf numFmtId="0" fontId="32" fillId="2" borderId="0" xfId="1" applyFont="1" applyFill="1"/>
    <xf numFmtId="0" fontId="10" fillId="2" borderId="0" xfId="1" applyFont="1" applyFill="1"/>
    <xf numFmtId="0" fontId="1" fillId="2" borderId="0" xfId="1" applyFill="1" applyAlignment="1">
      <alignment horizontal="center"/>
    </xf>
    <xf numFmtId="0" fontId="33" fillId="2" borderId="0" xfId="1" applyFont="1" applyFill="1"/>
    <xf numFmtId="0" fontId="17" fillId="12" borderId="0" xfId="2" applyFont="1" applyFill="1" applyAlignment="1">
      <alignment horizontal="center" wrapText="1"/>
    </xf>
    <xf numFmtId="0" fontId="16" fillId="5" borderId="10" xfId="2" applyFont="1" applyFill="1" applyBorder="1" applyAlignment="1">
      <alignment horizontal="center" vertical="center"/>
    </xf>
    <xf numFmtId="0" fontId="16" fillId="5" borderId="9" xfId="2" applyFont="1" applyFill="1" applyBorder="1" applyAlignment="1">
      <alignment horizontal="center" vertical="center"/>
    </xf>
    <xf numFmtId="0" fontId="16" fillId="5" borderId="8" xfId="2" applyFont="1" applyFill="1" applyBorder="1" applyAlignment="1">
      <alignment horizontal="center" vertical="center"/>
    </xf>
    <xf numFmtId="0" fontId="14" fillId="4" borderId="1" xfId="2" applyFont="1" applyFill="1" applyBorder="1" applyAlignment="1">
      <alignment horizontal="center"/>
    </xf>
    <xf numFmtId="0" fontId="13" fillId="0" borderId="0" xfId="2" applyFont="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3">
    <dxf>
      <fill>
        <patternFill>
          <bgColor theme="0" tint="-4.9989318521683403E-2"/>
        </patternFill>
      </fill>
    </dxf>
    <dxf>
      <font>
        <strike val="0"/>
        <color theme="0"/>
      </font>
      <fill>
        <patternFill>
          <bgColor rgb="FF5B9BD5"/>
        </patternFill>
      </fill>
      <border>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dashed">
          <color auto="1"/>
        </vertical>
        <horizontal/>
      </border>
    </dxf>
  </dxfs>
  <tableStyles count="1" defaultTableStyle="TableStyleMedium2" defaultPivotStyle="PivotStyleLight16">
    <tableStyle name="SAP TABLE STYLE" pivot="0" count="3" xr9:uid="{9D5F68E8-0568-428A-B24B-FE8EE3846A4C}">
      <tableStyleElement type="wholeTable" dxfId="2"/>
      <tableStyleElement type="headerRow" dxfId="1"/>
      <tableStyleElement type="secondRowStripe" dxfId="0"/>
    </tableStyle>
  </tableStyles>
  <colors>
    <mruColors>
      <color rgb="FFF1F3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bm-my.sharepoint.com/Client/Cal%20Fed/CalFed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nside.equaterra.com/windows/TEMP/Consolidado%2001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bm-my.sharepoint.com/C:/C:/C:/private/var/folders/qd/9m6853zj0fsd8v1yfn9mwfy80000gn/T/TemporaryItems/notes/Scenario%2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 oncustomer Template"/>
      <sheetName val="Cal Fed Customer Activities"/>
      <sheetName val="Cal Fed Noncustomer Activities"/>
      <sheetName val="Cal Fed Questions"/>
      <sheetName val="Teller Transactions"/>
      <sheetName val="Generic Activity List"/>
      <sheetName val="Alan2"/>
      <sheetName val="Example"/>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l&amp;Dev 1"/>
      <sheetName val="Infl&amp;Dev 2"/>
      <sheetName val="MEX"/>
      <sheetName val="BRA"/>
      <sheetName val="COL"/>
      <sheetName val="VEN"/>
      <sheetName val="ARG"/>
      <sheetName val="COS"/>
      <sheetName val="GCP"/>
      <sheetName val="PAN"/>
      <sheetName val="ELS"/>
      <sheetName val="NIC"/>
      <sheetName val="HON"/>
      <sheetName val="DOM"/>
      <sheetName val="JAM"/>
      <sheetName val="GUY"/>
      <sheetName val="TRI"/>
      <sheetName val="BAR"/>
      <sheetName val="DMN"/>
      <sheetName val="ECU"/>
      <sheetName val="PER"/>
      <sheetName val="CHI"/>
      <sheetName val="Pguay"/>
      <sheetName val="Bolivia"/>
      <sheetName val="URU"/>
      <sheetName val="Consolidado 01B"/>
    </sheetNames>
    <sheetDataSet>
      <sheetData sheetId="0"/>
      <sheetData sheetId="1"/>
      <sheetData sheetId="2" refreshError="1">
        <row r="10">
          <cell r="I10">
            <v>90</v>
          </cell>
          <cell r="J10">
            <v>91</v>
          </cell>
          <cell r="K10">
            <v>92</v>
          </cell>
          <cell r="L10">
            <v>93</v>
          </cell>
          <cell r="M10" t="str">
            <v>94</v>
          </cell>
        </row>
        <row r="11">
          <cell r="I11">
            <v>4.4999999999999998E-2</v>
          </cell>
          <cell r="J11">
            <v>3.6000000000000004E-2</v>
          </cell>
          <cell r="K11">
            <v>2.6000000000000002E-2</v>
          </cell>
          <cell r="L11">
            <v>5.0000000000000001E-3</v>
          </cell>
          <cell r="M11">
            <v>2.5000000000000001E-2</v>
          </cell>
        </row>
        <row r="23">
          <cell r="I23">
            <v>0.29899999999999999</v>
          </cell>
          <cell r="J23">
            <v>0.188</v>
          </cell>
          <cell r="K23">
            <v>0.11900000000000001</v>
          </cell>
          <cell r="L23">
            <v>0.08</v>
          </cell>
          <cell r="M23">
            <v>7.0999999999999994E-2</v>
          </cell>
        </row>
        <row r="30">
          <cell r="I30">
            <v>9.8214285714285809E-2</v>
          </cell>
          <cell r="J30">
            <v>4.5054200542005374E-2</v>
          </cell>
          <cell r="K30">
            <v>1.0696920583468383E-2</v>
          </cell>
          <cell r="L30">
            <v>-1.9243104554201862E-3</v>
          </cell>
          <cell r="M30">
            <v>0.59865038560411299</v>
          </cell>
        </row>
      </sheetData>
      <sheetData sheetId="3" refreshError="1">
        <row r="11">
          <cell r="I11">
            <v>-0.04</v>
          </cell>
          <cell r="J11">
            <v>1.1000000000000001E-2</v>
          </cell>
          <cell r="K11">
            <v>-5.0000000000000001E-3</v>
          </cell>
          <cell r="L11">
            <v>4.2000000000000003E-2</v>
          </cell>
          <cell r="M11">
            <v>5.6000000000000001E-2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Menu"/>
      <sheetName val="GS_PL"/>
      <sheetName val="PL_Detail"/>
      <sheetName val="Adjustments"/>
      <sheetName val="GS_IE"/>
      <sheetName val="Cost_Summary"/>
      <sheetName val="AMS"/>
      <sheetName val="SO_Labor"/>
      <sheetName val="Hardware"/>
      <sheetName val="Software"/>
      <sheetName val="Network"/>
      <sheetName val="Other"/>
      <sheetName val="Lease_Calculate"/>
      <sheetName val="Termination"/>
      <sheetName val="Credit_Exposure"/>
      <sheetName val="Price Release"/>
      <sheetName val="ScratchPad1"/>
      <sheetName val="ScratchPad2"/>
      <sheetName val="ScratchPad3"/>
      <sheetName val="Calculations"/>
      <sheetName val="Misc"/>
      <sheetName val="Markdown"/>
      <sheetName val="Cash Flow"/>
      <sheetName val="Statistics_Detail"/>
      <sheetName val="Statistics"/>
      <sheetName val="N"/>
    </sheetNames>
    <sheetDataSet>
      <sheetData sheetId="0">
        <row r="42">
          <cell r="C42">
            <v>0.15</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R38"/>
  <sheetViews>
    <sheetView tabSelected="1" topLeftCell="J1" zoomScaleNormal="100" workbookViewId="0">
      <selection activeCell="I15" sqref="I15:Z15"/>
    </sheetView>
  </sheetViews>
  <sheetFormatPr defaultColWidth="12.44140625" defaultRowHeight="14.4" x14ac:dyDescent="0.3"/>
  <cols>
    <col min="1" max="1" width="4.33203125" style="1" customWidth="1"/>
    <col min="2" max="2" width="6.5546875" style="1" hidden="1" customWidth="1"/>
    <col min="3" max="3" width="12.5546875" style="1" hidden="1" customWidth="1"/>
    <col min="4" max="4" width="6.5546875" style="1" hidden="1" customWidth="1"/>
    <col min="5" max="5" width="5.5546875" style="1" hidden="1" customWidth="1"/>
    <col min="6" max="6" width="5.109375" style="1" hidden="1" customWidth="1"/>
    <col min="7" max="7" width="0" style="1" hidden="1" customWidth="1"/>
    <col min="8" max="8" width="9.109375" style="1" hidden="1" customWidth="1"/>
    <col min="9" max="9" width="12.5546875" style="1" hidden="1" customWidth="1"/>
    <col min="10" max="10" width="2" style="2" bestFit="1" customWidth="1"/>
    <col min="11" max="11" width="4" style="1" bestFit="1" customWidth="1"/>
    <col min="12" max="12" width="27.44140625" style="1" bestFit="1" customWidth="1"/>
    <col min="13" max="13" width="66.44140625" style="1" customWidth="1"/>
    <col min="14" max="14" width="4.5546875" style="1" customWidth="1"/>
    <col min="15" max="15" width="3.44140625" style="1" bestFit="1" customWidth="1"/>
    <col min="16" max="16" width="67.5546875" style="62" customWidth="1"/>
    <col min="17" max="17" width="4.109375" style="1" customWidth="1"/>
    <col min="18" max="18" width="3.44140625" style="4" bestFit="1" customWidth="1"/>
    <col min="19" max="19" width="66.5546875" style="1" customWidth="1"/>
    <col min="20" max="20" width="4.109375" style="1" customWidth="1"/>
    <col min="21" max="21" width="4.44140625" style="4" hidden="1" customWidth="1"/>
    <col min="22" max="22" width="68" style="1" customWidth="1"/>
    <col min="23" max="23" width="4.109375" style="1" customWidth="1"/>
    <col min="24" max="24" width="3.44140625" style="4" bestFit="1" customWidth="1"/>
    <col min="25" max="25" width="68" style="1" customWidth="1"/>
    <col min="26" max="26" width="4.109375" style="1" customWidth="1"/>
    <col min="27" max="28" width="6.5546875" style="4" customWidth="1"/>
    <col min="29" max="29" width="12.44140625" style="5" customWidth="1"/>
    <col min="30" max="34" width="12.44140625" style="1" customWidth="1"/>
    <col min="35" max="35" width="12.44140625" style="5" customWidth="1"/>
    <col min="36" max="41" width="12.44140625" style="1" customWidth="1"/>
    <col min="42" max="42" width="3" style="1" bestFit="1" customWidth="1"/>
    <col min="43" max="43" width="3.88671875" style="1" bestFit="1" customWidth="1"/>
    <col min="44" max="44" width="23.33203125" style="1" customWidth="1"/>
    <col min="45" max="45" width="12.44140625" style="1" customWidth="1"/>
    <col min="46" max="46" width="27.44140625" style="1" customWidth="1"/>
    <col min="47" max="48" width="12.44140625" style="1" customWidth="1"/>
    <col min="49" max="16384" width="12.44140625" style="1"/>
  </cols>
  <sheetData>
    <row r="2" spans="2:44" ht="20.399999999999999" hidden="1" x14ac:dyDescent="0.35">
      <c r="P2" s="3" t="s">
        <v>0</v>
      </c>
    </row>
    <row r="3" spans="2:44" ht="17.399999999999999" hidden="1" x14ac:dyDescent="0.3">
      <c r="P3" s="6"/>
    </row>
    <row r="4" spans="2:44" ht="15.6" hidden="1" x14ac:dyDescent="0.3">
      <c r="P4" s="7" t="s">
        <v>1</v>
      </c>
    </row>
    <row r="5" spans="2:44" hidden="1" x14ac:dyDescent="0.3">
      <c r="P5" s="8" t="s">
        <v>2</v>
      </c>
    </row>
    <row r="6" spans="2:44" ht="17.399999999999999" hidden="1" x14ac:dyDescent="0.3">
      <c r="P6" s="6"/>
    </row>
    <row r="7" spans="2:44" ht="17.399999999999999" hidden="1" x14ac:dyDescent="0.3">
      <c r="P7" s="6" t="s">
        <v>3</v>
      </c>
      <c r="S7" s="9"/>
    </row>
    <row r="8" spans="2:44" hidden="1" x14ac:dyDescent="0.3">
      <c r="P8" s="9" t="s">
        <v>4</v>
      </c>
    </row>
    <row r="9" spans="2:44" hidden="1" x14ac:dyDescent="0.3">
      <c r="P9" s="10"/>
    </row>
    <row r="10" spans="2:44" ht="15.6" hidden="1" x14ac:dyDescent="0.3">
      <c r="P10" s="7" t="s">
        <v>5</v>
      </c>
    </row>
    <row r="11" spans="2:44" hidden="1" x14ac:dyDescent="0.3">
      <c r="P11" s="11" t="s">
        <v>6</v>
      </c>
    </row>
    <row r="12" spans="2:44" hidden="1" x14ac:dyDescent="0.3">
      <c r="P12" s="11" t="s">
        <v>7</v>
      </c>
    </row>
    <row r="13" spans="2:44" hidden="1" x14ac:dyDescent="0.3">
      <c r="P13" s="11" t="s">
        <v>8</v>
      </c>
    </row>
    <row r="14" spans="2:44" ht="15" thickBot="1" x14ac:dyDescent="0.35">
      <c r="M14" s="1">
        <v>3</v>
      </c>
      <c r="P14" s="12">
        <v>4</v>
      </c>
    </row>
    <row r="15" spans="2:44" s="2" customFormat="1" ht="21.6" thickBot="1" x14ac:dyDescent="0.4">
      <c r="I15" s="77" t="s">
        <v>9</v>
      </c>
      <c r="J15" s="77"/>
      <c r="K15" s="77"/>
      <c r="L15" s="77"/>
      <c r="M15" s="77"/>
      <c r="N15" s="77"/>
      <c r="O15" s="77"/>
      <c r="P15" s="77"/>
      <c r="Q15" s="77"/>
      <c r="R15" s="77"/>
      <c r="S15" s="77"/>
      <c r="T15" s="77"/>
      <c r="U15" s="77"/>
      <c r="V15" s="77"/>
      <c r="W15" s="77"/>
      <c r="X15" s="77"/>
      <c r="Y15" s="77"/>
      <c r="Z15" s="77"/>
      <c r="AA15" s="13"/>
      <c r="AB15" s="13"/>
      <c r="AC15" s="78" t="s">
        <v>10</v>
      </c>
      <c r="AD15" s="79"/>
      <c r="AE15" s="79"/>
      <c r="AF15" s="79"/>
      <c r="AG15" s="80"/>
      <c r="AI15" s="78" t="s">
        <v>11</v>
      </c>
      <c r="AJ15" s="79"/>
      <c r="AK15" s="79"/>
      <c r="AL15" s="79"/>
      <c r="AM15" s="80"/>
      <c r="AP15" s="81" t="s">
        <v>12</v>
      </c>
      <c r="AQ15" s="81"/>
      <c r="AR15" s="81"/>
    </row>
    <row r="16" spans="2:44" ht="21" x14ac:dyDescent="0.4">
      <c r="B16" s="14" t="s">
        <v>13</v>
      </c>
      <c r="C16" s="14" t="s">
        <v>14</v>
      </c>
      <c r="D16" s="14" t="s">
        <v>15</v>
      </c>
      <c r="E16" s="15" t="s">
        <v>16</v>
      </c>
      <c r="F16" s="15" t="s">
        <v>17</v>
      </c>
      <c r="H16" s="63" t="s">
        <v>18</v>
      </c>
      <c r="I16" s="63" t="s">
        <v>19</v>
      </c>
      <c r="K16" s="16" t="s">
        <v>20</v>
      </c>
      <c r="L16" s="17" t="s">
        <v>21</v>
      </c>
      <c r="M16" s="18" t="s">
        <v>22</v>
      </c>
      <c r="N16" s="19" t="s">
        <v>23</v>
      </c>
      <c r="O16" s="20"/>
      <c r="P16" s="21" t="s">
        <v>24</v>
      </c>
      <c r="Q16" s="22" t="s">
        <v>23</v>
      </c>
      <c r="R16" s="20"/>
      <c r="S16" s="23" t="s">
        <v>25</v>
      </c>
      <c r="T16" s="24" t="s">
        <v>23</v>
      </c>
      <c r="U16" s="20"/>
      <c r="V16" s="25" t="s">
        <v>26</v>
      </c>
      <c r="W16" s="26" t="s">
        <v>23</v>
      </c>
      <c r="Y16" s="68" t="s">
        <v>27</v>
      </c>
      <c r="Z16" s="69" t="s">
        <v>23</v>
      </c>
      <c r="AC16" s="27" t="s">
        <v>28</v>
      </c>
      <c r="AD16" s="28" t="s">
        <v>14</v>
      </c>
      <c r="AE16" s="28" t="s">
        <v>15</v>
      </c>
      <c r="AF16" s="28" t="s">
        <v>29</v>
      </c>
      <c r="AG16" s="29" t="s">
        <v>30</v>
      </c>
      <c r="AI16" s="27" t="s">
        <v>28</v>
      </c>
      <c r="AJ16" s="28" t="s">
        <v>14</v>
      </c>
      <c r="AK16" s="28" t="s">
        <v>15</v>
      </c>
      <c r="AL16" s="28" t="s">
        <v>29</v>
      </c>
      <c r="AM16" s="29" t="s">
        <v>30</v>
      </c>
      <c r="AP16" s="30">
        <v>0</v>
      </c>
      <c r="AQ16" s="70">
        <f>( (AC22*2+AD22)/3)</f>
        <v>1.3333333333333333</v>
      </c>
      <c r="AR16" s="30" t="s">
        <v>31</v>
      </c>
    </row>
    <row r="17" spans="2:44" s="2" customFormat="1" ht="35.4" x14ac:dyDescent="0.35">
      <c r="B17" s="31">
        <f>IFERROR(SUMPRODUCT(I17,O17),0)</f>
        <v>0</v>
      </c>
      <c r="C17" s="31">
        <f>IFERROR(SUMPRODUCT(I17,R17),0)</f>
        <v>0</v>
      </c>
      <c r="D17" s="31">
        <f>IFERROR(SUMPRODUCT(I17,U17),0)</f>
        <v>0</v>
      </c>
      <c r="E17" s="31">
        <f>IFERROR(SUMPRODUCT(I17,X17),0)</f>
        <v>0</v>
      </c>
      <c r="F17" s="31">
        <f>IFERROR(SUMPRODUCT(I17,AA17),0)</f>
        <v>0</v>
      </c>
      <c r="H17" s="63">
        <v>3</v>
      </c>
      <c r="I17" s="64">
        <v>0.125</v>
      </c>
      <c r="J17" s="32">
        <f t="shared" ref="J17:J21" si="0">COUNTIF(N17:Z17,"X")</f>
        <v>0</v>
      </c>
      <c r="K17" s="33" t="s">
        <v>32</v>
      </c>
      <c r="L17" s="66" t="s">
        <v>33</v>
      </c>
      <c r="M17" s="34" t="s">
        <v>63</v>
      </c>
      <c r="N17" s="35"/>
      <c r="O17" s="36" t="str">
        <f>IF(N17="x",AC17,"")</f>
        <v/>
      </c>
      <c r="P17" s="34" t="s">
        <v>64</v>
      </c>
      <c r="Q17" s="35"/>
      <c r="R17" s="36" t="str">
        <f>IF(Q17="x",AD17,"")</f>
        <v/>
      </c>
      <c r="S17" s="34" t="s">
        <v>65</v>
      </c>
      <c r="T17" s="35"/>
      <c r="U17" s="36" t="str">
        <f t="shared" ref="U17:U21" si="1">IF(T17="x",AE17,"")</f>
        <v/>
      </c>
      <c r="V17" s="34" t="s">
        <v>66</v>
      </c>
      <c r="W17" s="35"/>
      <c r="X17" s="37" t="str">
        <f>IF(W17="x",AF17,"")</f>
        <v/>
      </c>
      <c r="Y17" s="34" t="s">
        <v>67</v>
      </c>
      <c r="Z17" s="35"/>
      <c r="AA17" s="37" t="str">
        <f>IF(Z17="x",AG17,"")</f>
        <v/>
      </c>
      <c r="AB17" s="37"/>
      <c r="AC17" s="38">
        <f>AI17*$I17</f>
        <v>0.125</v>
      </c>
      <c r="AD17" s="38">
        <f>AJ17*$I17</f>
        <v>0.25</v>
      </c>
      <c r="AE17" s="38">
        <f t="shared" ref="AD17:AG21" si="2">AK17*$I17</f>
        <v>0.5</v>
      </c>
      <c r="AF17" s="38">
        <f t="shared" si="2"/>
        <v>1</v>
      </c>
      <c r="AG17" s="38">
        <f t="shared" si="2"/>
        <v>1.5</v>
      </c>
      <c r="AI17" s="38">
        <v>1</v>
      </c>
      <c r="AJ17" s="39">
        <f>AI17*2</f>
        <v>2</v>
      </c>
      <c r="AK17" s="39">
        <f t="shared" ref="AK17:AL17" si="3">AJ17*2</f>
        <v>4</v>
      </c>
      <c r="AL17" s="39">
        <f t="shared" si="3"/>
        <v>8</v>
      </c>
      <c r="AM17" s="39">
        <f>AL17*1.5</f>
        <v>12</v>
      </c>
      <c r="AP17" s="40">
        <f>AQ16</f>
        <v>1.3333333333333333</v>
      </c>
      <c r="AQ17" s="41">
        <f>(AD22*2+AE22)/3</f>
        <v>2.6666666666666665</v>
      </c>
      <c r="AR17" s="42" t="s">
        <v>34</v>
      </c>
    </row>
    <row r="18" spans="2:44" s="2" customFormat="1" ht="94.2" x14ac:dyDescent="0.35">
      <c r="B18" s="31">
        <f t="shared" ref="B18:B21" si="4">IFERROR(SUMPRODUCT(I18,O18),0)</f>
        <v>0</v>
      </c>
      <c r="C18" s="31">
        <f>IFERROR(SUMPRODUCT(I18,R18),0)</f>
        <v>0</v>
      </c>
      <c r="D18" s="31">
        <f t="shared" ref="D18:D21" si="5">IFERROR(SUMPRODUCT(I18,U18),0)</f>
        <v>0</v>
      </c>
      <c r="E18" s="31">
        <f t="shared" ref="E18:E21" si="6">IFERROR(SUMPRODUCT(I18,X18),0)</f>
        <v>0</v>
      </c>
      <c r="F18" s="31">
        <f t="shared" ref="F18:F21" si="7">IFERROR(SUMPRODUCT(I18,AA18),0)</f>
        <v>0</v>
      </c>
      <c r="H18" s="63">
        <v>3</v>
      </c>
      <c r="I18" s="65">
        <v>0.3</v>
      </c>
      <c r="J18" s="32">
        <f t="shared" si="0"/>
        <v>0</v>
      </c>
      <c r="K18" s="33" t="s">
        <v>35</v>
      </c>
      <c r="L18" s="71" t="s">
        <v>36</v>
      </c>
      <c r="M18" s="34" t="s">
        <v>72</v>
      </c>
      <c r="N18" s="35"/>
      <c r="O18" s="36" t="str">
        <f t="shared" ref="O18:O21" si="8">IF(N18="x",AC18,"")</f>
        <v/>
      </c>
      <c r="P18" s="34" t="s">
        <v>68</v>
      </c>
      <c r="Q18" s="35"/>
      <c r="R18" s="36" t="str">
        <f t="shared" ref="R18:R21" si="9">IF(Q18="x",AD18,"")</f>
        <v/>
      </c>
      <c r="S18" s="34" t="s">
        <v>69</v>
      </c>
      <c r="T18" s="35"/>
      <c r="U18" s="36" t="str">
        <f t="shared" si="1"/>
        <v/>
      </c>
      <c r="V18" s="34" t="s">
        <v>70</v>
      </c>
      <c r="W18" s="35"/>
      <c r="X18" s="37" t="str">
        <f t="shared" ref="X18:X21" si="10">IF(W18="x",AF18,"")</f>
        <v/>
      </c>
      <c r="Y18" s="34" t="s">
        <v>71</v>
      </c>
      <c r="Z18" s="35"/>
      <c r="AA18" s="37" t="str">
        <f t="shared" ref="AA18:AA21" si="11">IF(Z18="x",AG18,"")</f>
        <v/>
      </c>
      <c r="AB18" s="37"/>
      <c r="AC18" s="38">
        <f t="shared" ref="AC18:AC21" si="12">AI18*$I18</f>
        <v>0.3</v>
      </c>
      <c r="AD18" s="38">
        <f t="shared" si="2"/>
        <v>0.6</v>
      </c>
      <c r="AE18" s="38">
        <f t="shared" si="2"/>
        <v>1.2</v>
      </c>
      <c r="AF18" s="38">
        <f t="shared" si="2"/>
        <v>2.4</v>
      </c>
      <c r="AG18" s="38">
        <f t="shared" si="2"/>
        <v>3.5999999999999996</v>
      </c>
      <c r="AI18" s="38">
        <v>1</v>
      </c>
      <c r="AJ18" s="39">
        <f t="shared" ref="AJ18:AL21" si="13">AI18*2</f>
        <v>2</v>
      </c>
      <c r="AK18" s="39">
        <f t="shared" si="13"/>
        <v>4</v>
      </c>
      <c r="AL18" s="39">
        <f t="shared" si="13"/>
        <v>8</v>
      </c>
      <c r="AM18" s="39">
        <f t="shared" ref="AM18:AM22" si="14">AL18*1.5</f>
        <v>12</v>
      </c>
      <c r="AP18" s="40">
        <f>AQ17</f>
        <v>2.6666666666666665</v>
      </c>
      <c r="AQ18" s="41">
        <f>(AE22*2+AF22)/3</f>
        <v>5.333333333333333</v>
      </c>
      <c r="AR18" s="42" t="s">
        <v>37</v>
      </c>
    </row>
    <row r="19" spans="2:44" s="2" customFormat="1" ht="138" x14ac:dyDescent="0.35">
      <c r="B19" s="31">
        <f t="shared" si="4"/>
        <v>0</v>
      </c>
      <c r="C19" s="31">
        <f t="shared" ref="C19:C21" si="15">IFERROR(SUMPRODUCT(I19,R19),0)</f>
        <v>0</v>
      </c>
      <c r="D19" s="31">
        <f t="shared" si="5"/>
        <v>0</v>
      </c>
      <c r="E19" s="31">
        <f t="shared" si="6"/>
        <v>0</v>
      </c>
      <c r="F19" s="31">
        <f t="shared" si="7"/>
        <v>0</v>
      </c>
      <c r="H19" s="63">
        <v>4</v>
      </c>
      <c r="I19" s="65">
        <v>0.25</v>
      </c>
      <c r="J19" s="32">
        <f t="shared" si="0"/>
        <v>0</v>
      </c>
      <c r="K19" s="33" t="s">
        <v>38</v>
      </c>
      <c r="L19" s="66" t="s">
        <v>39</v>
      </c>
      <c r="M19" s="43" t="s">
        <v>40</v>
      </c>
      <c r="N19" s="44"/>
      <c r="O19" s="45" t="str">
        <f t="shared" si="8"/>
        <v/>
      </c>
      <c r="P19" s="43" t="s">
        <v>41</v>
      </c>
      <c r="Q19" s="44"/>
      <c r="R19" s="45" t="str">
        <f t="shared" si="9"/>
        <v/>
      </c>
      <c r="S19" s="43" t="s">
        <v>42</v>
      </c>
      <c r="T19" s="44"/>
      <c r="U19" s="45" t="str">
        <f t="shared" si="1"/>
        <v/>
      </c>
      <c r="V19" s="43" t="s">
        <v>43</v>
      </c>
      <c r="W19" s="44"/>
      <c r="X19" s="46" t="str">
        <f t="shared" si="10"/>
        <v/>
      </c>
      <c r="Y19" s="43" t="s">
        <v>44</v>
      </c>
      <c r="Z19" s="35"/>
      <c r="AA19" s="37" t="str">
        <f t="shared" si="11"/>
        <v/>
      </c>
      <c r="AB19" s="37"/>
      <c r="AC19" s="38">
        <f t="shared" si="12"/>
        <v>0.25</v>
      </c>
      <c r="AD19" s="38">
        <f t="shared" si="2"/>
        <v>0.5</v>
      </c>
      <c r="AE19" s="38">
        <f t="shared" si="2"/>
        <v>1</v>
      </c>
      <c r="AF19" s="38">
        <f t="shared" si="2"/>
        <v>2</v>
      </c>
      <c r="AG19" s="38">
        <f t="shared" si="2"/>
        <v>3</v>
      </c>
      <c r="AI19" s="38">
        <v>1</v>
      </c>
      <c r="AJ19" s="39">
        <f t="shared" si="13"/>
        <v>2</v>
      </c>
      <c r="AK19" s="39">
        <f t="shared" si="13"/>
        <v>4</v>
      </c>
      <c r="AL19" s="39">
        <f t="shared" si="13"/>
        <v>8</v>
      </c>
      <c r="AM19" s="39">
        <f t="shared" si="14"/>
        <v>12</v>
      </c>
      <c r="AP19" s="40">
        <f>AQ18</f>
        <v>5.333333333333333</v>
      </c>
      <c r="AQ19" s="41">
        <f>(AF22*2 + AG22)/3</f>
        <v>9.3333333333333339</v>
      </c>
      <c r="AR19" s="42" t="s">
        <v>45</v>
      </c>
    </row>
    <row r="20" spans="2:44" s="2" customFormat="1" ht="69.599999999999994" x14ac:dyDescent="0.35">
      <c r="B20" s="31">
        <f t="shared" si="4"/>
        <v>0</v>
      </c>
      <c r="C20" s="31">
        <f t="shared" si="15"/>
        <v>0</v>
      </c>
      <c r="D20" s="31">
        <f t="shared" si="5"/>
        <v>0</v>
      </c>
      <c r="E20" s="31">
        <f t="shared" si="6"/>
        <v>0</v>
      </c>
      <c r="F20" s="31">
        <f t="shared" si="7"/>
        <v>0</v>
      </c>
      <c r="H20" s="63">
        <v>2</v>
      </c>
      <c r="I20" s="64">
        <v>0.17499999999999999</v>
      </c>
      <c r="J20" s="32">
        <f t="shared" si="0"/>
        <v>0</v>
      </c>
      <c r="K20" s="33" t="s">
        <v>46</v>
      </c>
      <c r="L20" s="71" t="s">
        <v>47</v>
      </c>
      <c r="M20" s="34" t="s">
        <v>48</v>
      </c>
      <c r="N20" s="35"/>
      <c r="O20" s="36" t="str">
        <f t="shared" si="8"/>
        <v/>
      </c>
      <c r="P20" s="34" t="s">
        <v>49</v>
      </c>
      <c r="Q20" s="35"/>
      <c r="R20" s="36" t="str">
        <f t="shared" si="9"/>
        <v/>
      </c>
      <c r="S20" s="34" t="s">
        <v>50</v>
      </c>
      <c r="T20" s="35"/>
      <c r="U20" s="36" t="str">
        <f t="shared" si="1"/>
        <v/>
      </c>
      <c r="V20" s="34" t="s">
        <v>51</v>
      </c>
      <c r="W20" s="35"/>
      <c r="X20" s="37" t="str">
        <f t="shared" si="10"/>
        <v/>
      </c>
      <c r="Y20" s="34" t="s">
        <v>52</v>
      </c>
      <c r="Z20" s="35"/>
      <c r="AA20" s="37" t="str">
        <f t="shared" si="11"/>
        <v/>
      </c>
      <c r="AB20" s="37"/>
      <c r="AC20" s="38">
        <f t="shared" si="12"/>
        <v>0.17499999999999999</v>
      </c>
      <c r="AD20" s="38">
        <f t="shared" si="2"/>
        <v>0.35</v>
      </c>
      <c r="AE20" s="38">
        <f t="shared" si="2"/>
        <v>0.7</v>
      </c>
      <c r="AF20" s="38">
        <f t="shared" si="2"/>
        <v>1.4</v>
      </c>
      <c r="AG20" s="38">
        <f t="shared" si="2"/>
        <v>2.0999999999999996</v>
      </c>
      <c r="AI20" s="38">
        <v>1</v>
      </c>
      <c r="AJ20" s="39">
        <f t="shared" si="13"/>
        <v>2</v>
      </c>
      <c r="AK20" s="39">
        <f t="shared" si="13"/>
        <v>4</v>
      </c>
      <c r="AL20" s="39">
        <f t="shared" si="13"/>
        <v>8</v>
      </c>
      <c r="AM20" s="39">
        <f t="shared" si="14"/>
        <v>12</v>
      </c>
      <c r="AP20" s="40">
        <f>AQ19</f>
        <v>9.3333333333333339</v>
      </c>
      <c r="AQ20" s="41">
        <f>AG22</f>
        <v>12</v>
      </c>
      <c r="AR20" s="42" t="s">
        <v>27</v>
      </c>
    </row>
    <row r="21" spans="2:44" s="2" customFormat="1" ht="104.4" x14ac:dyDescent="0.35">
      <c r="B21" s="31">
        <f t="shared" si="4"/>
        <v>0</v>
      </c>
      <c r="C21" s="31">
        <f t="shared" si="15"/>
        <v>0</v>
      </c>
      <c r="D21" s="31">
        <f t="shared" si="5"/>
        <v>0</v>
      </c>
      <c r="E21" s="31">
        <f t="shared" si="6"/>
        <v>0</v>
      </c>
      <c r="F21" s="31">
        <f t="shared" si="7"/>
        <v>0</v>
      </c>
      <c r="H21" s="63">
        <v>1</v>
      </c>
      <c r="I21" s="64">
        <v>0.15</v>
      </c>
      <c r="J21" s="32">
        <f t="shared" si="0"/>
        <v>0</v>
      </c>
      <c r="K21" s="67" t="s">
        <v>53</v>
      </c>
      <c r="L21" s="71" t="s">
        <v>54</v>
      </c>
      <c r="M21" s="34" t="s">
        <v>55</v>
      </c>
      <c r="N21" s="35"/>
      <c r="O21" s="36" t="str">
        <f t="shared" si="8"/>
        <v/>
      </c>
      <c r="P21" s="34" t="s">
        <v>56</v>
      </c>
      <c r="Q21" s="35"/>
      <c r="R21" s="36" t="str">
        <f t="shared" si="9"/>
        <v/>
      </c>
      <c r="S21" s="34" t="s">
        <v>57</v>
      </c>
      <c r="T21" s="35"/>
      <c r="U21" s="36" t="str">
        <f t="shared" si="1"/>
        <v/>
      </c>
      <c r="V21" s="34" t="s">
        <v>58</v>
      </c>
      <c r="W21" s="35"/>
      <c r="X21" s="37" t="str">
        <f t="shared" si="10"/>
        <v/>
      </c>
      <c r="Y21" s="34" t="s">
        <v>59</v>
      </c>
      <c r="Z21" s="35"/>
      <c r="AA21" s="37" t="str">
        <f t="shared" si="11"/>
        <v/>
      </c>
      <c r="AB21" s="37"/>
      <c r="AC21" s="38">
        <f t="shared" si="12"/>
        <v>0.15</v>
      </c>
      <c r="AD21" s="38">
        <f t="shared" si="2"/>
        <v>0.3</v>
      </c>
      <c r="AE21" s="38">
        <f t="shared" si="2"/>
        <v>0.6</v>
      </c>
      <c r="AF21" s="38">
        <f t="shared" si="2"/>
        <v>1.2</v>
      </c>
      <c r="AG21" s="38">
        <f t="shared" si="2"/>
        <v>1.7999999999999998</v>
      </c>
      <c r="AI21" s="38">
        <v>1</v>
      </c>
      <c r="AJ21" s="39">
        <f t="shared" si="13"/>
        <v>2</v>
      </c>
      <c r="AK21" s="39">
        <f t="shared" si="13"/>
        <v>4</v>
      </c>
      <c r="AL21" s="39">
        <f t="shared" si="13"/>
        <v>8</v>
      </c>
      <c r="AM21" s="39">
        <f t="shared" si="14"/>
        <v>12</v>
      </c>
    </row>
    <row r="22" spans="2:44" s="48" customFormat="1" ht="15" thickBot="1" x14ac:dyDescent="0.35">
      <c r="B22" s="47">
        <f>SUM(B17:B21)</f>
        <v>0</v>
      </c>
      <c r="C22" s="47">
        <f t="shared" ref="C22:F22" si="16">SUM(C17:C21)</f>
        <v>0</v>
      </c>
      <c r="D22" s="47">
        <f t="shared" si="16"/>
        <v>0</v>
      </c>
      <c r="E22" s="47">
        <f t="shared" si="16"/>
        <v>0</v>
      </c>
      <c r="F22" s="47">
        <f t="shared" si="16"/>
        <v>0</v>
      </c>
      <c r="J22" s="49">
        <f>SUM(J17:J21)</f>
        <v>0</v>
      </c>
      <c r="K22" s="49"/>
      <c r="L22" s="49"/>
      <c r="M22" s="49"/>
      <c r="N22" s="49">
        <f>COUNTIF(N17:N21,"X")</f>
        <v>0</v>
      </c>
      <c r="O22" s="50">
        <f>SUM(O17:O21)</f>
        <v>0</v>
      </c>
      <c r="P22" s="49"/>
      <c r="Q22" s="49">
        <f>COUNTIF(Q17:Q21,"X")</f>
        <v>0</v>
      </c>
      <c r="R22" s="50">
        <f>SUM(R17:R21)</f>
        <v>0</v>
      </c>
      <c r="S22" s="49"/>
      <c r="T22" s="49">
        <f>COUNTIF(T17:T21,"X")</f>
        <v>0</v>
      </c>
      <c r="U22" s="51">
        <f>SUM(U17:U21)</f>
        <v>0</v>
      </c>
      <c r="V22" s="82" t="s">
        <v>60</v>
      </c>
      <c r="W22" s="49">
        <f>COUNTIF(W17:W21,"X")</f>
        <v>0</v>
      </c>
      <c r="X22" s="51">
        <f>SUM(X17:X21)</f>
        <v>0</v>
      </c>
      <c r="Y22" s="82" t="s">
        <v>60</v>
      </c>
      <c r="Z22" s="49">
        <f>COUNTIF(Z17:Z21,"X")</f>
        <v>0</v>
      </c>
      <c r="AA22" s="51">
        <f>SUM(AA17:AA21)</f>
        <v>0</v>
      </c>
      <c r="AB22" s="51"/>
      <c r="AC22" s="52">
        <f>SUM(AC17:AC21)</f>
        <v>1</v>
      </c>
      <c r="AD22" s="53">
        <f>SUM(AD17:AD21)</f>
        <v>2</v>
      </c>
      <c r="AE22" s="53">
        <f>SUM(AE17:AE21)</f>
        <v>4</v>
      </c>
      <c r="AF22" s="53">
        <f>SUM(AF17:AF21)</f>
        <v>8</v>
      </c>
      <c r="AG22" s="54">
        <f>SUM(AG17:AG21)</f>
        <v>12</v>
      </c>
      <c r="AI22" s="52">
        <f>SUM(AI17:AI21)</f>
        <v>5</v>
      </c>
      <c r="AJ22" s="53">
        <f>SUM(AJ17:AJ21)</f>
        <v>10</v>
      </c>
      <c r="AK22" s="53">
        <f>SUM(AK17:AK21)</f>
        <v>20</v>
      </c>
      <c r="AL22" s="53">
        <f>SUM(AL17:AL21)</f>
        <v>40</v>
      </c>
      <c r="AM22" s="39">
        <f t="shared" si="14"/>
        <v>60</v>
      </c>
    </row>
    <row r="23" spans="2:44" x14ac:dyDescent="0.3">
      <c r="I23" s="55">
        <f>SUM(I17:I21)</f>
        <v>1</v>
      </c>
      <c r="K23" s="2"/>
      <c r="L23" s="2"/>
      <c r="M23" s="2"/>
      <c r="N23" s="2"/>
      <c r="O23" s="2"/>
      <c r="P23" s="56"/>
      <c r="Q23" s="2"/>
      <c r="R23" s="13"/>
      <c r="S23" s="57">
        <f>SUM(Q22,T22,W22)</f>
        <v>0</v>
      </c>
      <c r="T23" s="2"/>
      <c r="V23" s="82"/>
      <c r="Y23" s="82"/>
    </row>
    <row r="24" spans="2:44" x14ac:dyDescent="0.3">
      <c r="E24" s="1">
        <f>MAX(B22:G22)</f>
        <v>0</v>
      </c>
      <c r="P24" s="58" t="s">
        <v>61</v>
      </c>
      <c r="S24" s="59">
        <f>SUM(O22,R22,U22,X22,AA22)</f>
        <v>0</v>
      </c>
    </row>
    <row r="25" spans="2:44" ht="23.4" x14ac:dyDescent="0.3">
      <c r="B25" s="1">
        <f>B22</f>
        <v>0</v>
      </c>
      <c r="M25" s="62"/>
      <c r="P25" s="58" t="s">
        <v>62</v>
      </c>
      <c r="S25" s="60" t="str">
        <f>IF(MAX(J17:J21)&gt;1,"Duplicated 'X'",IF(MIN(J17:J21)&lt;1,"MissingData",_xlfn.IFS(S24=0,"No data",S24&lt;AQ16,"Extra Simple",S24&lt;AQ17,"Simple",S24&lt;AQ18,"Medium",S24&lt;AQ19,"Complex",S24&gt;AP20,"Extra Complex")))</f>
        <v>MissingData</v>
      </c>
      <c r="Y25" s="61"/>
      <c r="AD25" s="5"/>
      <c r="AE25" s="5"/>
      <c r="AF25" s="5"/>
      <c r="AG25" s="5"/>
      <c r="AJ25" s="5"/>
      <c r="AK25" s="5"/>
      <c r="AL25" s="5"/>
      <c r="AM25" s="5"/>
    </row>
    <row r="27" spans="2:44" ht="17.399999999999999" x14ac:dyDescent="0.3">
      <c r="K27" s="72"/>
      <c r="L27" s="72"/>
      <c r="M27" s="73"/>
      <c r="N27" s="72"/>
      <c r="O27" s="74"/>
      <c r="P27" s="72"/>
      <c r="Q27" s="72"/>
      <c r="R27" s="74"/>
      <c r="S27" s="72"/>
      <c r="T27" s="72"/>
      <c r="U27" s="72"/>
      <c r="V27" s="74"/>
      <c r="W27" s="74"/>
      <c r="X27" s="74"/>
      <c r="Y27" s="75"/>
      <c r="Z27" s="72"/>
    </row>
    <row r="28" spans="2:44" x14ac:dyDescent="0.3">
      <c r="K28" s="72"/>
      <c r="L28" s="72"/>
      <c r="M28" s="76"/>
      <c r="N28" s="72"/>
      <c r="O28" s="74"/>
      <c r="P28" s="72"/>
      <c r="Q28" s="72"/>
      <c r="R28" s="74"/>
      <c r="S28" s="72"/>
      <c r="T28" s="72"/>
      <c r="U28" s="72"/>
      <c r="V28" s="74"/>
      <c r="W28" s="74"/>
      <c r="X28" s="74"/>
      <c r="Y28" s="75"/>
      <c r="Z28" s="72"/>
    </row>
    <row r="29" spans="2:44" x14ac:dyDescent="0.3">
      <c r="P29" s="1"/>
      <c r="R29" s="1"/>
      <c r="U29" s="1"/>
      <c r="X29" s="1"/>
      <c r="AA29" s="1"/>
      <c r="AB29" s="1"/>
    </row>
    <row r="30" spans="2:44" x14ac:dyDescent="0.3">
      <c r="P30" s="1"/>
      <c r="R30" s="1"/>
      <c r="U30" s="1"/>
      <c r="X30" s="1"/>
      <c r="AA30" s="1"/>
      <c r="AB30" s="1"/>
    </row>
    <row r="31" spans="2:44" x14ac:dyDescent="0.3">
      <c r="P31" s="1"/>
      <c r="R31" s="1"/>
      <c r="U31" s="1"/>
      <c r="X31" s="1"/>
      <c r="AA31" s="1"/>
      <c r="AB31" s="1"/>
    </row>
    <row r="32" spans="2:44" x14ac:dyDescent="0.3">
      <c r="P32" s="1"/>
      <c r="R32" s="1"/>
      <c r="U32" s="1"/>
      <c r="X32" s="1"/>
      <c r="AA32" s="1"/>
      <c r="AB32" s="1"/>
    </row>
    <row r="33" spans="16:28" x14ac:dyDescent="0.3">
      <c r="P33" s="1"/>
      <c r="R33" s="1"/>
      <c r="U33" s="1"/>
      <c r="X33" s="1"/>
      <c r="AA33" s="1"/>
      <c r="AB33" s="1"/>
    </row>
    <row r="34" spans="16:28" x14ac:dyDescent="0.3">
      <c r="P34" s="1"/>
      <c r="R34" s="1"/>
      <c r="U34" s="1"/>
      <c r="X34" s="1"/>
      <c r="AA34" s="1"/>
      <c r="AB34" s="1"/>
    </row>
    <row r="35" spans="16:28" x14ac:dyDescent="0.3">
      <c r="P35" s="1"/>
      <c r="R35" s="1"/>
      <c r="U35" s="1"/>
      <c r="X35" s="1"/>
      <c r="AA35" s="1"/>
      <c r="AB35" s="1"/>
    </row>
    <row r="36" spans="16:28" x14ac:dyDescent="0.3">
      <c r="P36" s="1"/>
      <c r="R36" s="1"/>
      <c r="U36" s="1"/>
      <c r="X36" s="1"/>
      <c r="AA36" s="1"/>
      <c r="AB36" s="1"/>
    </row>
    <row r="37" spans="16:28" x14ac:dyDescent="0.3">
      <c r="P37" s="1"/>
      <c r="R37" s="1"/>
      <c r="U37" s="1"/>
      <c r="X37" s="1"/>
      <c r="AA37" s="1"/>
      <c r="AB37" s="1"/>
    </row>
    <row r="38" spans="16:28" x14ac:dyDescent="0.3">
      <c r="P38" s="1"/>
      <c r="R38" s="1"/>
      <c r="U38" s="1"/>
      <c r="X38" s="1"/>
      <c r="AA38" s="1"/>
      <c r="AB38" s="1"/>
    </row>
  </sheetData>
  <mergeCells count="6">
    <mergeCell ref="I15:Z15"/>
    <mergeCell ref="AC15:AG15"/>
    <mergeCell ref="AI15:AM15"/>
    <mergeCell ref="AP15:AR15"/>
    <mergeCell ref="V22:V23"/>
    <mergeCell ref="Y22:Y23"/>
  </mergeCells>
  <dataValidations count="1">
    <dataValidation type="list" allowBlank="1" showInputMessage="1" showErrorMessage="1" sqref="Z17:Z21 W17:W21 N17:N21 T17:T21 Q17:Q21" xr:uid="{00000000-0002-0000-0100-000000000000}">
      <formula1>"X"</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Complexity Matrix</vt:lpstr>
    </vt:vector>
  </TitlesOfParts>
  <Manager/>
  <Company>IBM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ADMINIBM</dc:creator>
  <cp:keywords/>
  <dc:description/>
  <cp:lastModifiedBy>Murugan M</cp:lastModifiedBy>
  <cp:revision/>
  <dcterms:created xsi:type="dcterms:W3CDTF">2018-04-19T11:56:47Z</dcterms:created>
  <dcterms:modified xsi:type="dcterms:W3CDTF">2026-06-05T13:13:35Z</dcterms:modified>
  <cp:category/>
  <cp:contentStatus/>
</cp:coreProperties>
</file>